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1_simple reaction time 0.1_20" sheetId="1" r:id="rId5"/>
  </sheets>
  <definedNames/>
  <calcPr/>
</workbook>
</file>

<file path=xl/sharedStrings.xml><?xml version="1.0" encoding="utf-8"?>
<sst xmlns="http://schemas.openxmlformats.org/spreadsheetml/2006/main" count="457" uniqueCount="54">
  <si>
    <t>thisN</t>
  </si>
  <si>
    <t>thisTrialN</t>
  </si>
  <si>
    <t>thisRepN</t>
  </si>
  <si>
    <t>key_resp.keys</t>
  </si>
  <si>
    <t>key_resp.rt</t>
  </si>
  <si>
    <t>reaction time ( in ms)</t>
  </si>
  <si>
    <t>key_resp.duration</t>
  </si>
  <si>
    <t>trials_2.thisRepN</t>
  </si>
  <si>
    <t>trials_2.thisTrialN</t>
  </si>
  <si>
    <t>trials_2.thisN</t>
  </si>
  <si>
    <t>trials_2.thisIndex</t>
  </si>
  <si>
    <t>thisRow.t</t>
  </si>
  <si>
    <t>notes</t>
  </si>
  <si>
    <t>piloting</t>
  </si>
  <si>
    <t>instruction.started</t>
  </si>
  <si>
    <t>text.started</t>
  </si>
  <si>
    <t>key_resp_2.started</t>
  </si>
  <si>
    <t>instruction.stopped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</si>
  <si>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</si>
  <si>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</si>
  <si>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</si>
  <si>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</si>
  <si>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</si>
  <si>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</si>
  <si>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target.started</t>
  </si>
  <si>
    <t>key_resp.started</t>
  </si>
  <si>
    <t>trial.stopped</t>
  </si>
  <si>
    <t>trials_2.key_resp.keys</t>
  </si>
  <si>
    <t>trials_2.key_resp.rt</t>
  </si>
  <si>
    <t>trials_2.key_resp.duration</t>
  </si>
  <si>
    <t>thankyou.started</t>
  </si>
  <si>
    <t>text_2.started</t>
  </si>
  <si>
    <t>text_2.stopped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</si>
  <si>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</si>
  <si>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</si>
  <si>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</si>
  <si>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</si>
  <si>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</si>
  <si>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</si>
  <si>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</si>
  <si>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</si>
  <si>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</si>
  <si>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</si>
  <si>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</si>
  <si>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2026-09-10_14h18.04.318</t>
  </si>
  <si>
    <t>simple reaction time 0.1</t>
  </si>
  <si>
    <t>2026.2.3</t>
  </si>
  <si>
    <t>2026-09-10 14h18.04.507239 +0530</t>
  </si>
  <si>
    <t>y</t>
  </si>
  <si>
    <t xml:space="preserve">mean </t>
  </si>
  <si>
    <t>standard deviation</t>
  </si>
  <si>
    <t>median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</si>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</sst>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Border="1" applyFill="1" applyFont="1"/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80000"/>
                </a:solidFill>
                <a:latin typeface="+mn-lt"/>
              </a:defRPr>
            </a:pPr>
            <a:r>
              <a:rPr b="1">
                <a:solidFill>
                  <a:srgbClr val="980000"/>
                </a:solidFill>
                <a:latin typeface="+mn-lt"/>
              </a:rPr>
              <a:t>Simple Reaction Time Task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'001_simple reaction time 0.1_20'!$F$1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'001_simple reaction time 0.1_20'!$C$4:$C$52</c:f>
            </c:strRef>
          </c:cat>
          <c:val>
            <c:numRef>
              <c:f>'001_simple reaction time 0.1_20'!$F$2:$F$52</c:f>
              <c:numCache/>
            </c:numRef>
          </c:val>
          <c:smooth val="0"/>
        </c:ser>
        <c:axId val="1375668527"/>
        <c:axId val="33801713"/>
      </c:lineChart>
      <c:catAx>
        <c:axId val="1375668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01713"/>
      </c:catAx>
      <c:valAx>
        <c:axId val="33801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 (in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668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4CC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504825</xdr:colOff>
      <xdr:row>4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6" max="6" width="19.0"/>
    <col customWidth="1" min="16" max="1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N2" s="1" t="b">
        <v>0</v>
      </c>
      <c r="O2" s="1">
        <v>0.00280619994737207</v>
      </c>
      <c r="P2" s="1">
        <v>0.0108292000368237</v>
      </c>
      <c r="Q2" s="1">
        <v>0.0108292000368237</v>
      </c>
      <c r="R2" s="1">
        <v>6.36258369986899</v>
      </c>
      <c r="S2" s="1" t="s">
        <v>42</v>
      </c>
      <c r="T2" s="1">
        <v>6.31424049986526</v>
      </c>
      <c r="U2" s="1" t="s">
        <v>43</v>
      </c>
      <c r="AI2" s="1">
        <v>1.0</v>
      </c>
      <c r="AJ2" s="1">
        <v>1.0</v>
      </c>
      <c r="AK2" s="1" t="s">
        <v>44</v>
      </c>
      <c r="AL2" s="1" t="s">
        <v>45</v>
      </c>
      <c r="AN2" s="1" t="s">
        <v>46</v>
      </c>
      <c r="AO2" s="1">
        <v>59.8772277453874</v>
      </c>
      <c r="AP2" s="1" t="s">
        <v>47</v>
      </c>
    </row>
    <row r="3">
      <c r="A3" s="1">
        <v>0.0</v>
      </c>
      <c r="B3" s="1">
        <v>0.0</v>
      </c>
      <c r="C3" s="1">
        <v>0.0</v>
      </c>
      <c r="D3" s="1" t="s">
        <v>48</v>
      </c>
      <c r="E3" s="1">
        <v>0.306122000096365</v>
      </c>
      <c r="F3" s="1">
        <f t="shared" ref="F3:F52" si="1">E3*1000</f>
        <v>306.1220001</v>
      </c>
      <c r="G3" s="1" t="s">
        <v>43</v>
      </c>
      <c r="H3" s="1">
        <v>0.0</v>
      </c>
      <c r="I3" s="1">
        <v>0.0</v>
      </c>
      <c r="J3" s="1">
        <v>0.0</v>
      </c>
      <c r="K3" s="1">
        <v>0.0</v>
      </c>
      <c r="L3" s="1">
        <v>6.37185509991832</v>
      </c>
      <c r="V3" s="1">
        <v>6.36531109991483</v>
      </c>
      <c r="W3" s="1">
        <v>6.37185509991832</v>
      </c>
      <c r="X3" s="1">
        <v>6.87326399981975</v>
      </c>
      <c r="Y3" s="1">
        <v>6.87326399981975</v>
      </c>
      <c r="Z3" s="1">
        <v>6.87326399981975</v>
      </c>
      <c r="AA3" s="1">
        <v>7.19077529991045</v>
      </c>
      <c r="AB3" s="1" t="s">
        <v>48</v>
      </c>
      <c r="AC3" s="1">
        <v>0.306122000096365</v>
      </c>
      <c r="AD3" s="1" t="s">
        <v>43</v>
      </c>
      <c r="AI3" s="1">
        <v>1.0</v>
      </c>
      <c r="AJ3" s="1">
        <v>1.0</v>
      </c>
      <c r="AK3" s="1" t="s">
        <v>44</v>
      </c>
      <c r="AL3" s="1" t="s">
        <v>45</v>
      </c>
      <c r="AN3" s="1" t="s">
        <v>46</v>
      </c>
      <c r="AO3" s="1">
        <v>59.8772277453874</v>
      </c>
      <c r="AP3" s="1" t="s">
        <v>47</v>
      </c>
    </row>
    <row r="4">
      <c r="A4" s="1">
        <v>1.0</v>
      </c>
      <c r="B4" s="1">
        <v>0.0</v>
      </c>
      <c r="C4" s="1">
        <v>1.0</v>
      </c>
      <c r="D4" s="1" t="s">
        <v>48</v>
      </c>
      <c r="E4" s="1">
        <v>0.229372200090438</v>
      </c>
      <c r="F4" s="1">
        <f t="shared" si="1"/>
        <v>229.3722001</v>
      </c>
      <c r="G4" s="1" t="s">
        <v>43</v>
      </c>
      <c r="H4" s="1">
        <v>1.0</v>
      </c>
      <c r="I4" s="1">
        <v>0.0</v>
      </c>
      <c r="J4" s="1">
        <v>1.0</v>
      </c>
      <c r="K4" s="1">
        <v>0.0</v>
      </c>
      <c r="L4" s="1">
        <v>7.20666649984195</v>
      </c>
      <c r="V4" s="1">
        <v>7.1911140999291</v>
      </c>
      <c r="W4" s="1">
        <v>7.20666649984195</v>
      </c>
      <c r="X4" s="1">
        <v>7.68986909999512</v>
      </c>
      <c r="Y4" s="1">
        <v>7.68986909999512</v>
      </c>
      <c r="Z4" s="1">
        <v>7.68986909999512</v>
      </c>
      <c r="AA4" s="1">
        <v>7.92381099984049</v>
      </c>
      <c r="AB4" s="1" t="s">
        <v>48</v>
      </c>
      <c r="AC4" s="1">
        <v>0.229372200090438</v>
      </c>
      <c r="AD4" s="1" t="s">
        <v>43</v>
      </c>
      <c r="AI4" s="1">
        <v>1.0</v>
      </c>
      <c r="AJ4" s="1">
        <v>1.0</v>
      </c>
      <c r="AK4" s="1" t="s">
        <v>44</v>
      </c>
      <c r="AL4" s="1" t="s">
        <v>45</v>
      </c>
      <c r="AN4" s="1" t="s">
        <v>46</v>
      </c>
      <c r="AO4" s="1">
        <v>59.8772277453874</v>
      </c>
      <c r="AP4" s="1" t="s">
        <v>47</v>
      </c>
    </row>
    <row r="5">
      <c r="A5" s="1">
        <v>2.0</v>
      </c>
      <c r="B5" s="1">
        <v>0.0</v>
      </c>
      <c r="C5" s="1">
        <v>2.0</v>
      </c>
      <c r="D5" s="1" t="s">
        <v>48</v>
      </c>
      <c r="E5" s="1">
        <v>0.245483099948614</v>
      </c>
      <c r="F5" s="1">
        <f t="shared" si="1"/>
        <v>245.4830999</v>
      </c>
      <c r="G5" s="1" t="s">
        <v>43</v>
      </c>
      <c r="H5" s="1">
        <v>2.0</v>
      </c>
      <c r="I5" s="1">
        <v>0.0</v>
      </c>
      <c r="J5" s="1">
        <v>2.0</v>
      </c>
      <c r="K5" s="1">
        <v>0.0</v>
      </c>
      <c r="L5" s="1">
        <v>7.93981769983656</v>
      </c>
      <c r="V5" s="1">
        <v>7.92418359988369</v>
      </c>
      <c r="W5" s="1">
        <v>7.93981769983656</v>
      </c>
      <c r="X5" s="1">
        <v>8.42329499986954</v>
      </c>
      <c r="Y5" s="1">
        <v>8.42329499986954</v>
      </c>
      <c r="Z5" s="1">
        <v>8.42329499986954</v>
      </c>
      <c r="AA5" s="1">
        <v>8.67461710004136</v>
      </c>
      <c r="AB5" s="1" t="s">
        <v>48</v>
      </c>
      <c r="AC5" s="1">
        <v>0.245483099948614</v>
      </c>
      <c r="AD5" s="1" t="s">
        <v>43</v>
      </c>
      <c r="AI5" s="1">
        <v>1.0</v>
      </c>
      <c r="AJ5" s="1">
        <v>1.0</v>
      </c>
      <c r="AK5" s="1" t="s">
        <v>44</v>
      </c>
      <c r="AL5" s="1" t="s">
        <v>45</v>
      </c>
      <c r="AN5" s="1" t="s">
        <v>46</v>
      </c>
      <c r="AO5" s="1">
        <v>59.8772277453874</v>
      </c>
      <c r="AP5" s="1" t="s">
        <v>47</v>
      </c>
    </row>
    <row r="6">
      <c r="A6" s="1">
        <v>3.0</v>
      </c>
      <c r="B6" s="1">
        <v>0.0</v>
      </c>
      <c r="C6" s="1">
        <v>3.0</v>
      </c>
      <c r="D6" s="1" t="s">
        <v>48</v>
      </c>
      <c r="E6" s="1">
        <v>0.234201000072062</v>
      </c>
      <c r="F6" s="1">
        <f t="shared" si="1"/>
        <v>234.2010001</v>
      </c>
      <c r="G6" s="1" t="s">
        <v>43</v>
      </c>
      <c r="H6" s="1">
        <v>3.0</v>
      </c>
      <c r="I6" s="1">
        <v>0.0</v>
      </c>
      <c r="J6" s="1">
        <v>3.0</v>
      </c>
      <c r="K6" s="1">
        <v>0.0</v>
      </c>
      <c r="L6" s="1">
        <v>8.68982109986245</v>
      </c>
      <c r="V6" s="1">
        <v>8.67531219986267</v>
      </c>
      <c r="W6" s="1">
        <v>8.68982109986245</v>
      </c>
      <c r="X6" s="1">
        <v>9.18994680000469</v>
      </c>
      <c r="Y6" s="1">
        <v>9.18994680000469</v>
      </c>
      <c r="Z6" s="1">
        <v>9.18994680000469</v>
      </c>
      <c r="AA6" s="1">
        <v>9.4411919999402</v>
      </c>
      <c r="AB6" s="1" t="s">
        <v>48</v>
      </c>
      <c r="AC6" s="1">
        <v>0.234201000072062</v>
      </c>
      <c r="AD6" s="1" t="s">
        <v>43</v>
      </c>
      <c r="AI6" s="1">
        <v>1.0</v>
      </c>
      <c r="AJ6" s="1">
        <v>1.0</v>
      </c>
      <c r="AK6" s="1" t="s">
        <v>44</v>
      </c>
      <c r="AL6" s="1" t="s">
        <v>45</v>
      </c>
      <c r="AN6" s="1" t="s">
        <v>46</v>
      </c>
      <c r="AO6" s="1">
        <v>59.8772277453874</v>
      </c>
      <c r="AP6" s="1" t="s">
        <v>47</v>
      </c>
    </row>
    <row r="7">
      <c r="A7" s="1">
        <v>4.0</v>
      </c>
      <c r="B7" s="1">
        <v>0.0</v>
      </c>
      <c r="C7" s="1">
        <v>4.0</v>
      </c>
      <c r="D7" s="1" t="s">
        <v>48</v>
      </c>
      <c r="E7" s="1">
        <v>0.265205599833279</v>
      </c>
      <c r="F7" s="1">
        <f t="shared" si="1"/>
        <v>265.2055998</v>
      </c>
      <c r="G7" s="1" t="s">
        <v>43</v>
      </c>
      <c r="H7" s="1">
        <v>4.0</v>
      </c>
      <c r="I7" s="1">
        <v>0.0</v>
      </c>
      <c r="J7" s="1">
        <v>4.0</v>
      </c>
      <c r="K7" s="1">
        <v>0.0</v>
      </c>
      <c r="L7" s="1">
        <v>9.45674559986218</v>
      </c>
      <c r="V7" s="1">
        <v>9.44146470003761</v>
      </c>
      <c r="W7" s="1">
        <v>9.45674559986218</v>
      </c>
      <c r="X7" s="1">
        <v>9.95784229994751</v>
      </c>
      <c r="Y7" s="1">
        <v>9.95784229994751</v>
      </c>
      <c r="Z7" s="1">
        <v>9.95784229994751</v>
      </c>
      <c r="AA7" s="1">
        <v>10.2242298000492</v>
      </c>
      <c r="AB7" s="1" t="s">
        <v>48</v>
      </c>
      <c r="AC7" s="1">
        <v>0.265205599833279</v>
      </c>
      <c r="AD7" s="1" t="s">
        <v>43</v>
      </c>
      <c r="AI7" s="1">
        <v>1.0</v>
      </c>
      <c r="AJ7" s="1">
        <v>1.0</v>
      </c>
      <c r="AK7" s="1" t="s">
        <v>44</v>
      </c>
      <c r="AL7" s="1" t="s">
        <v>45</v>
      </c>
      <c r="AN7" s="1" t="s">
        <v>46</v>
      </c>
      <c r="AO7" s="1">
        <v>59.8772277453874</v>
      </c>
      <c r="AP7" s="1" t="s">
        <v>47</v>
      </c>
    </row>
    <row r="8">
      <c r="A8" s="1">
        <v>5.0</v>
      </c>
      <c r="B8" s="1">
        <v>0.0</v>
      </c>
      <c r="C8" s="1">
        <v>5.0</v>
      </c>
      <c r="D8" s="1" t="s">
        <v>48</v>
      </c>
      <c r="E8" s="1">
        <v>0.217850300017744</v>
      </c>
      <c r="F8" s="1">
        <f t="shared" si="1"/>
        <v>217.8503</v>
      </c>
      <c r="G8" s="1" t="s">
        <v>43</v>
      </c>
      <c r="H8" s="1">
        <v>5.0</v>
      </c>
      <c r="I8" s="1">
        <v>0.0</v>
      </c>
      <c r="J8" s="1">
        <v>5.0</v>
      </c>
      <c r="K8" s="1">
        <v>0.0</v>
      </c>
      <c r="L8" s="1">
        <v>10.2397868998814</v>
      </c>
      <c r="V8" s="1">
        <v>10.2245459000114</v>
      </c>
      <c r="W8" s="1">
        <v>10.2397868998814</v>
      </c>
      <c r="X8" s="1">
        <v>10.7398474998772</v>
      </c>
      <c r="Y8" s="1">
        <v>10.7398474998772</v>
      </c>
      <c r="Z8" s="1">
        <v>10.7398474998772</v>
      </c>
      <c r="AA8" s="1">
        <v>10.9741313999984</v>
      </c>
      <c r="AB8" s="1" t="s">
        <v>48</v>
      </c>
      <c r="AC8" s="1">
        <v>0.217850300017744</v>
      </c>
      <c r="AD8" s="1" t="s">
        <v>43</v>
      </c>
      <c r="AI8" s="1">
        <v>1.0</v>
      </c>
      <c r="AJ8" s="1">
        <v>1.0</v>
      </c>
      <c r="AK8" s="1" t="s">
        <v>44</v>
      </c>
      <c r="AL8" s="1" t="s">
        <v>45</v>
      </c>
      <c r="AN8" s="1" t="s">
        <v>46</v>
      </c>
      <c r="AO8" s="1">
        <v>59.8772277453874</v>
      </c>
      <c r="AP8" s="1" t="s">
        <v>47</v>
      </c>
    </row>
    <row r="9">
      <c r="A9" s="1">
        <v>6.0</v>
      </c>
      <c r="B9" s="1">
        <v>0.0</v>
      </c>
      <c r="C9" s="1">
        <v>6.0</v>
      </c>
      <c r="D9" s="1" t="s">
        <v>48</v>
      </c>
      <c r="E9" s="1">
        <v>0.197651699883863</v>
      </c>
      <c r="F9" s="1">
        <f t="shared" si="1"/>
        <v>197.6516999</v>
      </c>
      <c r="G9" s="1" t="s">
        <v>43</v>
      </c>
      <c r="H9" s="1">
        <v>6.0</v>
      </c>
      <c r="I9" s="1">
        <v>0.0</v>
      </c>
      <c r="J9" s="1">
        <v>6.0</v>
      </c>
      <c r="K9" s="1">
        <v>0.0</v>
      </c>
      <c r="L9" s="1">
        <v>10.9899850999936</v>
      </c>
      <c r="V9" s="1">
        <v>10.9743619000073</v>
      </c>
      <c r="W9" s="1">
        <v>10.9899850999936</v>
      </c>
      <c r="X9" s="1">
        <v>11.4733908998314</v>
      </c>
      <c r="Y9" s="1">
        <v>11.4733908998314</v>
      </c>
      <c r="Z9" s="1">
        <v>11.4733908998314</v>
      </c>
      <c r="AA9" s="1">
        <v>11.673661199864</v>
      </c>
      <c r="AB9" s="1" t="s">
        <v>48</v>
      </c>
      <c r="AC9" s="1">
        <v>0.197651699883863</v>
      </c>
      <c r="AD9" s="1" t="s">
        <v>43</v>
      </c>
      <c r="AI9" s="1">
        <v>1.0</v>
      </c>
      <c r="AJ9" s="1">
        <v>1.0</v>
      </c>
      <c r="AK9" s="1" t="s">
        <v>44</v>
      </c>
      <c r="AL9" s="1" t="s">
        <v>45</v>
      </c>
      <c r="AN9" s="1" t="s">
        <v>46</v>
      </c>
      <c r="AO9" s="1">
        <v>59.8772277453874</v>
      </c>
      <c r="AP9" s="1" t="s">
        <v>47</v>
      </c>
    </row>
    <row r="10">
      <c r="A10" s="1">
        <v>7.0</v>
      </c>
      <c r="B10" s="1">
        <v>0.0</v>
      </c>
      <c r="C10" s="1">
        <v>7.0</v>
      </c>
      <c r="D10" s="1" t="s">
        <v>48</v>
      </c>
      <c r="E10" s="1">
        <v>0.260087199974805</v>
      </c>
      <c r="F10" s="1">
        <f t="shared" si="1"/>
        <v>260.0872</v>
      </c>
      <c r="G10" s="1" t="s">
        <v>43</v>
      </c>
      <c r="H10" s="1">
        <v>7.0</v>
      </c>
      <c r="I10" s="1">
        <v>0.0</v>
      </c>
      <c r="J10" s="1">
        <v>7.0</v>
      </c>
      <c r="K10" s="1">
        <v>0.0</v>
      </c>
      <c r="L10" s="1">
        <v>11.6907691999804</v>
      </c>
      <c r="V10" s="1">
        <v>11.6738950998988</v>
      </c>
      <c r="W10" s="1">
        <v>11.6907691999804</v>
      </c>
      <c r="X10" s="1">
        <v>12.1733301000203</v>
      </c>
      <c r="Y10" s="1">
        <v>12.1733301000203</v>
      </c>
      <c r="Z10" s="1">
        <v>12.1733301000203</v>
      </c>
      <c r="AA10" s="1">
        <v>12.4407825998496</v>
      </c>
      <c r="AB10" s="1" t="s">
        <v>48</v>
      </c>
      <c r="AC10" s="1">
        <v>0.260087199974805</v>
      </c>
      <c r="AD10" s="1" t="s">
        <v>43</v>
      </c>
      <c r="AI10" s="1">
        <v>1.0</v>
      </c>
      <c r="AJ10" s="1">
        <v>1.0</v>
      </c>
      <c r="AK10" s="1" t="s">
        <v>44</v>
      </c>
      <c r="AL10" s="1" t="s">
        <v>45</v>
      </c>
      <c r="AN10" s="1" t="s">
        <v>46</v>
      </c>
      <c r="AO10" s="1">
        <v>59.8772277453874</v>
      </c>
      <c r="AP10" s="1" t="s">
        <v>47</v>
      </c>
    </row>
    <row r="11">
      <c r="A11" s="1">
        <v>8.0</v>
      </c>
      <c r="B11" s="1">
        <v>0.0</v>
      </c>
      <c r="C11" s="1">
        <v>8.0</v>
      </c>
      <c r="D11" s="1" t="s">
        <v>48</v>
      </c>
      <c r="E11" s="1">
        <v>0.255391299957409</v>
      </c>
      <c r="F11" s="1">
        <f t="shared" si="1"/>
        <v>255.3913</v>
      </c>
      <c r="G11" s="1" t="s">
        <v>43</v>
      </c>
      <c r="H11" s="1">
        <v>8.0</v>
      </c>
      <c r="I11" s="1">
        <v>0.0</v>
      </c>
      <c r="J11" s="1">
        <v>8.0</v>
      </c>
      <c r="K11" s="1">
        <v>0.0</v>
      </c>
      <c r="L11" s="1">
        <v>12.4568800998386</v>
      </c>
      <c r="V11" s="1">
        <v>12.4410051000304</v>
      </c>
      <c r="W11" s="1">
        <v>12.4568800998386</v>
      </c>
      <c r="X11" s="1">
        <v>12.9398030999582</v>
      </c>
      <c r="Y11" s="1">
        <v>12.9398030999582</v>
      </c>
      <c r="Z11" s="1">
        <v>12.9398030999582</v>
      </c>
      <c r="AA11" s="1">
        <v>13.2074914998374</v>
      </c>
      <c r="AB11" s="1" t="s">
        <v>48</v>
      </c>
      <c r="AC11" s="1">
        <v>0.255391299957409</v>
      </c>
      <c r="AD11" s="1" t="s">
        <v>43</v>
      </c>
      <c r="AI11" s="1">
        <v>1.0</v>
      </c>
      <c r="AJ11" s="1">
        <v>1.0</v>
      </c>
      <c r="AK11" s="1" t="s">
        <v>44</v>
      </c>
      <c r="AL11" s="1" t="s">
        <v>45</v>
      </c>
      <c r="AN11" s="1" t="s">
        <v>46</v>
      </c>
      <c r="AO11" s="1">
        <v>59.8772277453874</v>
      </c>
      <c r="AP11" s="1" t="s">
        <v>47</v>
      </c>
    </row>
    <row r="12">
      <c r="A12" s="1">
        <v>9.0</v>
      </c>
      <c r="B12" s="1">
        <v>0.0</v>
      </c>
      <c r="C12" s="1">
        <v>9.0</v>
      </c>
      <c r="D12" s="1" t="s">
        <v>48</v>
      </c>
      <c r="E12" s="1">
        <v>0.259214400080963</v>
      </c>
      <c r="F12" s="1">
        <f t="shared" si="1"/>
        <v>259.2144001</v>
      </c>
      <c r="G12" s="1" t="s">
        <v>43</v>
      </c>
      <c r="H12" s="1">
        <v>9.0</v>
      </c>
      <c r="I12" s="1">
        <v>0.0</v>
      </c>
      <c r="J12" s="1">
        <v>9.0</v>
      </c>
      <c r="K12" s="1">
        <v>0.0</v>
      </c>
      <c r="L12" s="1">
        <v>13.2232408998534</v>
      </c>
      <c r="V12" s="1">
        <v>13.2078189000021</v>
      </c>
      <c r="W12" s="1">
        <v>13.2232408998534</v>
      </c>
      <c r="X12" s="1">
        <v>13.7232299998868</v>
      </c>
      <c r="Y12" s="1">
        <v>13.7232299998868</v>
      </c>
      <c r="Z12" s="1">
        <v>13.7232299998868</v>
      </c>
      <c r="AA12" s="1">
        <v>13.9906517998315</v>
      </c>
      <c r="AB12" s="1" t="s">
        <v>48</v>
      </c>
      <c r="AC12" s="1">
        <v>0.259214400080963</v>
      </c>
      <c r="AD12" s="1" t="s">
        <v>43</v>
      </c>
      <c r="AI12" s="1">
        <v>1.0</v>
      </c>
      <c r="AJ12" s="1">
        <v>1.0</v>
      </c>
      <c r="AK12" s="1" t="s">
        <v>44</v>
      </c>
      <c r="AL12" s="1" t="s">
        <v>45</v>
      </c>
      <c r="AN12" s="1" t="s">
        <v>46</v>
      </c>
      <c r="AO12" s="1">
        <v>59.8772277453874</v>
      </c>
      <c r="AP12" s="1" t="s">
        <v>47</v>
      </c>
    </row>
    <row r="13">
      <c r="A13" s="1">
        <v>10.0</v>
      </c>
      <c r="B13" s="1">
        <v>0.0</v>
      </c>
      <c r="C13" s="1">
        <v>10.0</v>
      </c>
      <c r="D13" s="1" t="s">
        <v>48</v>
      </c>
      <c r="E13" s="1">
        <v>0.262594500090926</v>
      </c>
      <c r="F13" s="1">
        <f t="shared" si="1"/>
        <v>262.5945001</v>
      </c>
      <c r="G13" s="1" t="s">
        <v>43</v>
      </c>
      <c r="H13" s="1">
        <v>10.0</v>
      </c>
      <c r="I13" s="1">
        <v>0.0</v>
      </c>
      <c r="J13" s="1">
        <v>10.0</v>
      </c>
      <c r="K13" s="1">
        <v>0.0</v>
      </c>
      <c r="L13" s="1">
        <v>14.0065041000489</v>
      </c>
      <c r="V13" s="1">
        <v>13.9909820999018</v>
      </c>
      <c r="W13" s="1">
        <v>14.0065041000489</v>
      </c>
      <c r="X13" s="1">
        <v>14.4899169998243</v>
      </c>
      <c r="Y13" s="1">
        <v>14.4899169998243</v>
      </c>
      <c r="Z13" s="1">
        <v>14.4899169998243</v>
      </c>
      <c r="AA13" s="1">
        <v>14.7572657000273</v>
      </c>
      <c r="AB13" s="1" t="s">
        <v>48</v>
      </c>
      <c r="AC13" s="1">
        <v>0.262594500090926</v>
      </c>
      <c r="AD13" s="1" t="s">
        <v>43</v>
      </c>
      <c r="AI13" s="1">
        <v>1.0</v>
      </c>
      <c r="AJ13" s="1">
        <v>1.0</v>
      </c>
      <c r="AK13" s="1" t="s">
        <v>44</v>
      </c>
      <c r="AL13" s="1" t="s">
        <v>45</v>
      </c>
      <c r="AN13" s="1" t="s">
        <v>46</v>
      </c>
      <c r="AO13" s="1">
        <v>59.8772277453874</v>
      </c>
      <c r="AP13" s="1" t="s">
        <v>47</v>
      </c>
    </row>
    <row r="14">
      <c r="A14" s="1">
        <v>11.0</v>
      </c>
      <c r="B14" s="1">
        <v>0.0</v>
      </c>
      <c r="C14" s="1">
        <v>11.0</v>
      </c>
      <c r="D14" s="1" t="s">
        <v>48</v>
      </c>
      <c r="E14" s="1">
        <v>0.267327300040051</v>
      </c>
      <c r="F14" s="1">
        <f t="shared" si="1"/>
        <v>267.3273</v>
      </c>
      <c r="G14" s="1" t="s">
        <v>43</v>
      </c>
      <c r="H14" s="1">
        <v>11.0</v>
      </c>
      <c r="I14" s="1">
        <v>0.0</v>
      </c>
      <c r="J14" s="1">
        <v>11.0</v>
      </c>
      <c r="K14" s="1">
        <v>0.0</v>
      </c>
      <c r="L14" s="1">
        <v>14.7731256999541</v>
      </c>
      <c r="V14" s="1">
        <v>14.7576613000128</v>
      </c>
      <c r="W14" s="1">
        <v>14.7731256999541</v>
      </c>
      <c r="X14" s="1">
        <v>15.2565423999913</v>
      </c>
      <c r="Y14" s="1">
        <v>15.2565423999913</v>
      </c>
      <c r="Z14" s="1">
        <v>15.2565423999913</v>
      </c>
      <c r="AA14" s="1">
        <v>15.525044000009</v>
      </c>
      <c r="AB14" s="1" t="s">
        <v>48</v>
      </c>
      <c r="AC14" s="1">
        <v>0.267327300040051</v>
      </c>
      <c r="AD14" s="1" t="s">
        <v>43</v>
      </c>
      <c r="AI14" s="1">
        <v>1.0</v>
      </c>
      <c r="AJ14" s="1">
        <v>1.0</v>
      </c>
      <c r="AK14" s="1" t="s">
        <v>44</v>
      </c>
      <c r="AL14" s="1" t="s">
        <v>45</v>
      </c>
      <c r="AN14" s="1" t="s">
        <v>46</v>
      </c>
      <c r="AO14" s="1">
        <v>59.8772277453874</v>
      </c>
      <c r="AP14" s="1" t="s">
        <v>47</v>
      </c>
    </row>
    <row r="15">
      <c r="A15" s="1">
        <v>12.0</v>
      </c>
      <c r="B15" s="1">
        <v>0.0</v>
      </c>
      <c r="C15" s="1">
        <v>12.0</v>
      </c>
      <c r="D15" s="1" t="s">
        <v>48</v>
      </c>
      <c r="E15" s="1">
        <v>0.27007560012862</v>
      </c>
      <c r="F15" s="1">
        <f t="shared" si="1"/>
        <v>270.0756001</v>
      </c>
      <c r="G15" s="1" t="s">
        <v>43</v>
      </c>
      <c r="H15" s="1">
        <v>12.0</v>
      </c>
      <c r="I15" s="1">
        <v>0.0</v>
      </c>
      <c r="J15" s="1">
        <v>12.0</v>
      </c>
      <c r="K15" s="1">
        <v>0.0</v>
      </c>
      <c r="L15" s="1">
        <v>15.5397439999505</v>
      </c>
      <c r="V15" s="1">
        <v>15.5253284999635</v>
      </c>
      <c r="W15" s="1">
        <v>15.5397439999505</v>
      </c>
      <c r="X15" s="1">
        <v>16.0399446999654</v>
      </c>
      <c r="Y15" s="1">
        <v>16.0399446999654</v>
      </c>
      <c r="Z15" s="1">
        <v>16.0399446999654</v>
      </c>
      <c r="AA15" s="1">
        <v>16.3243458999786</v>
      </c>
      <c r="AB15" s="1" t="s">
        <v>48</v>
      </c>
      <c r="AC15" s="1">
        <v>0.27007560012862</v>
      </c>
      <c r="AD15" s="1" t="s">
        <v>43</v>
      </c>
      <c r="AI15" s="1">
        <v>1.0</v>
      </c>
      <c r="AJ15" s="1">
        <v>1.0</v>
      </c>
      <c r="AK15" s="1" t="s">
        <v>44</v>
      </c>
      <c r="AL15" s="1" t="s">
        <v>45</v>
      </c>
      <c r="AN15" s="1" t="s">
        <v>46</v>
      </c>
      <c r="AO15" s="1">
        <v>59.8772277453874</v>
      </c>
      <c r="AP15" s="1" t="s">
        <v>47</v>
      </c>
    </row>
    <row r="16">
      <c r="A16" s="1">
        <v>13.0</v>
      </c>
      <c r="B16" s="1">
        <v>0.0</v>
      </c>
      <c r="C16" s="1">
        <v>13.0</v>
      </c>
      <c r="D16" s="1" t="s">
        <v>48</v>
      </c>
      <c r="E16" s="1">
        <v>0.253028200007975</v>
      </c>
      <c r="F16" s="1">
        <f t="shared" si="1"/>
        <v>253.0282</v>
      </c>
      <c r="G16" s="1" t="s">
        <v>43</v>
      </c>
      <c r="H16" s="1">
        <v>13.0</v>
      </c>
      <c r="I16" s="1">
        <v>0.0</v>
      </c>
      <c r="J16" s="1">
        <v>13.0</v>
      </c>
      <c r="K16" s="1">
        <v>0.0</v>
      </c>
      <c r="L16" s="1">
        <v>16.3396779999602</v>
      </c>
      <c r="V16" s="1">
        <v>16.3246901000384</v>
      </c>
      <c r="W16" s="1">
        <v>16.3396779999602</v>
      </c>
      <c r="X16" s="1">
        <v>16.8398016998544</v>
      </c>
      <c r="Y16" s="1">
        <v>16.8398016998544</v>
      </c>
      <c r="Z16" s="1">
        <v>16.8398016998544</v>
      </c>
      <c r="AA16" s="1">
        <v>17.1071980998385</v>
      </c>
      <c r="AB16" s="1" t="s">
        <v>48</v>
      </c>
      <c r="AC16" s="1">
        <v>0.253028200007975</v>
      </c>
      <c r="AD16" s="1" t="s">
        <v>43</v>
      </c>
      <c r="AI16" s="1">
        <v>1.0</v>
      </c>
      <c r="AJ16" s="1">
        <v>1.0</v>
      </c>
      <c r="AK16" s="1" t="s">
        <v>44</v>
      </c>
      <c r="AL16" s="1" t="s">
        <v>45</v>
      </c>
      <c r="AN16" s="1" t="s">
        <v>46</v>
      </c>
      <c r="AO16" s="1">
        <v>59.8772277453874</v>
      </c>
      <c r="AP16" s="1" t="s">
        <v>47</v>
      </c>
    </row>
    <row r="17">
      <c r="A17" s="1">
        <v>14.0</v>
      </c>
      <c r="B17" s="1">
        <v>0.0</v>
      </c>
      <c r="C17" s="1">
        <v>14.0</v>
      </c>
      <c r="D17" s="1" t="s">
        <v>48</v>
      </c>
      <c r="E17" s="1">
        <v>0.266039900016039</v>
      </c>
      <c r="F17" s="1">
        <f t="shared" si="1"/>
        <v>266.0399</v>
      </c>
      <c r="G17" s="1" t="s">
        <v>43</v>
      </c>
      <c r="H17" s="1">
        <v>14.0</v>
      </c>
      <c r="I17" s="1">
        <v>0.0</v>
      </c>
      <c r="J17" s="1">
        <v>14.0</v>
      </c>
      <c r="K17" s="1">
        <v>0.0</v>
      </c>
      <c r="L17" s="1">
        <v>17.1231128999497</v>
      </c>
      <c r="V17" s="1">
        <v>17.1075247998815</v>
      </c>
      <c r="W17" s="1">
        <v>17.1231128999497</v>
      </c>
      <c r="X17" s="1">
        <v>17.6068132000509</v>
      </c>
      <c r="Y17" s="1">
        <v>17.6068132000509</v>
      </c>
      <c r="Z17" s="1">
        <v>17.6068132000509</v>
      </c>
      <c r="AA17" s="1">
        <v>17.8738577000331</v>
      </c>
      <c r="AB17" s="1" t="s">
        <v>48</v>
      </c>
      <c r="AC17" s="1">
        <v>0.266039900016039</v>
      </c>
      <c r="AD17" s="1" t="s">
        <v>43</v>
      </c>
      <c r="AI17" s="1">
        <v>1.0</v>
      </c>
      <c r="AJ17" s="1">
        <v>1.0</v>
      </c>
      <c r="AK17" s="1" t="s">
        <v>44</v>
      </c>
      <c r="AL17" s="1" t="s">
        <v>45</v>
      </c>
      <c r="AN17" s="1" t="s">
        <v>46</v>
      </c>
      <c r="AO17" s="1">
        <v>59.8772277453874</v>
      </c>
      <c r="AP17" s="1" t="s">
        <v>47</v>
      </c>
    </row>
    <row r="18">
      <c r="A18" s="1">
        <v>15.0</v>
      </c>
      <c r="B18" s="1">
        <v>0.0</v>
      </c>
      <c r="C18" s="1">
        <v>15.0</v>
      </c>
      <c r="D18" s="1" t="s">
        <v>48</v>
      </c>
      <c r="E18" s="1">
        <v>0.277440200094133</v>
      </c>
      <c r="F18" s="1">
        <f t="shared" si="1"/>
        <v>277.4402001</v>
      </c>
      <c r="G18" s="1" t="s">
        <v>43</v>
      </c>
      <c r="H18" s="1">
        <v>15.0</v>
      </c>
      <c r="I18" s="1">
        <v>0.0</v>
      </c>
      <c r="J18" s="1">
        <v>15.0</v>
      </c>
      <c r="K18" s="1">
        <v>0.0</v>
      </c>
      <c r="L18" s="1">
        <v>17.8896877998486</v>
      </c>
      <c r="V18" s="1">
        <v>17.8742006998509</v>
      </c>
      <c r="W18" s="1">
        <v>17.8896877998486</v>
      </c>
      <c r="X18" s="1">
        <v>18.3732525999657</v>
      </c>
      <c r="Y18" s="1">
        <v>18.3732525999657</v>
      </c>
      <c r="Z18" s="1">
        <v>18.3732525999657</v>
      </c>
      <c r="AA18" s="1">
        <v>18.6571492999792</v>
      </c>
      <c r="AB18" s="1" t="s">
        <v>48</v>
      </c>
      <c r="AC18" s="1">
        <v>0.277440200094133</v>
      </c>
      <c r="AD18" s="1" t="s">
        <v>43</v>
      </c>
      <c r="AI18" s="1">
        <v>1.0</v>
      </c>
      <c r="AJ18" s="1">
        <v>1.0</v>
      </c>
      <c r="AK18" s="1" t="s">
        <v>44</v>
      </c>
      <c r="AL18" s="1" t="s">
        <v>45</v>
      </c>
      <c r="AN18" s="1" t="s">
        <v>46</v>
      </c>
      <c r="AO18" s="1">
        <v>59.8772277453874</v>
      </c>
      <c r="AP18" s="1" t="s">
        <v>47</v>
      </c>
    </row>
    <row r="19">
      <c r="A19" s="1">
        <v>16.0</v>
      </c>
      <c r="B19" s="1">
        <v>0.0</v>
      </c>
      <c r="C19" s="1">
        <v>16.0</v>
      </c>
      <c r="D19" s="1" t="s">
        <v>48</v>
      </c>
      <c r="E19" s="1">
        <v>0.298140600090846</v>
      </c>
      <c r="F19" s="1">
        <f t="shared" si="1"/>
        <v>298.1406001</v>
      </c>
      <c r="G19" s="1" t="s">
        <v>43</v>
      </c>
      <c r="H19" s="1">
        <v>16.0</v>
      </c>
      <c r="I19" s="1">
        <v>0.0</v>
      </c>
      <c r="J19" s="1">
        <v>16.0</v>
      </c>
      <c r="K19" s="1">
        <v>0.0</v>
      </c>
      <c r="L19" s="1">
        <v>18.6733275998849</v>
      </c>
      <c r="V19" s="1">
        <v>18.6575660000089</v>
      </c>
      <c r="W19" s="1">
        <v>18.6733275998849</v>
      </c>
      <c r="X19" s="1">
        <v>19.1564470999874</v>
      </c>
      <c r="Y19" s="1">
        <v>19.1564470999874</v>
      </c>
      <c r="Z19" s="1">
        <v>19.1564470999874</v>
      </c>
      <c r="AA19" s="1">
        <v>19.4572431999258</v>
      </c>
      <c r="AB19" s="1" t="s">
        <v>48</v>
      </c>
      <c r="AC19" s="1">
        <v>0.298140600090846</v>
      </c>
      <c r="AD19" s="1" t="s">
        <v>43</v>
      </c>
      <c r="AI19" s="1">
        <v>1.0</v>
      </c>
      <c r="AJ19" s="1">
        <v>1.0</v>
      </c>
      <c r="AK19" s="1" t="s">
        <v>44</v>
      </c>
      <c r="AL19" s="1" t="s">
        <v>45</v>
      </c>
      <c r="AN19" s="1" t="s">
        <v>46</v>
      </c>
      <c r="AO19" s="1">
        <v>59.8772277453874</v>
      </c>
      <c r="AP19" s="1" t="s">
        <v>47</v>
      </c>
    </row>
    <row r="20">
      <c r="A20" s="1">
        <v>17.0</v>
      </c>
      <c r="B20" s="1">
        <v>0.0</v>
      </c>
      <c r="C20" s="1">
        <v>17.0</v>
      </c>
      <c r="D20" s="1" t="s">
        <v>48</v>
      </c>
      <c r="E20" s="1">
        <v>0.23620710009709</v>
      </c>
      <c r="F20" s="1">
        <f t="shared" si="1"/>
        <v>236.2071001</v>
      </c>
      <c r="G20" s="1" t="s">
        <v>43</v>
      </c>
      <c r="H20" s="1">
        <v>17.0</v>
      </c>
      <c r="I20" s="1">
        <v>0.0</v>
      </c>
      <c r="J20" s="1">
        <v>17.0</v>
      </c>
      <c r="K20" s="1">
        <v>0.0</v>
      </c>
      <c r="L20" s="1">
        <v>19.4733157998416</v>
      </c>
      <c r="V20" s="1">
        <v>19.4575139998924</v>
      </c>
      <c r="W20" s="1">
        <v>19.4733157998416</v>
      </c>
      <c r="X20" s="1">
        <v>19.9564211999531</v>
      </c>
      <c r="Y20" s="1">
        <v>19.9564211999531</v>
      </c>
      <c r="Z20" s="1">
        <v>19.9564211999531</v>
      </c>
      <c r="AA20" s="1">
        <v>20.2072240000125</v>
      </c>
      <c r="AB20" s="1" t="s">
        <v>48</v>
      </c>
      <c r="AC20" s="1">
        <v>0.23620710009709</v>
      </c>
      <c r="AD20" s="1" t="s">
        <v>43</v>
      </c>
      <c r="AI20" s="1">
        <v>1.0</v>
      </c>
      <c r="AJ20" s="1">
        <v>1.0</v>
      </c>
      <c r="AK20" s="1" t="s">
        <v>44</v>
      </c>
      <c r="AL20" s="1" t="s">
        <v>45</v>
      </c>
      <c r="AN20" s="1" t="s">
        <v>46</v>
      </c>
      <c r="AO20" s="1">
        <v>59.8772277453874</v>
      </c>
      <c r="AP20" s="1" t="s">
        <v>47</v>
      </c>
    </row>
    <row r="21">
      <c r="A21" s="1">
        <v>18.0</v>
      </c>
      <c r="B21" s="1">
        <v>0.0</v>
      </c>
      <c r="C21" s="1">
        <v>18.0</v>
      </c>
      <c r="D21" s="1" t="s">
        <v>48</v>
      </c>
      <c r="E21" s="1">
        <v>0.247309899888932</v>
      </c>
      <c r="F21" s="1">
        <f t="shared" si="1"/>
        <v>247.3098999</v>
      </c>
      <c r="G21" s="1" t="s">
        <v>43</v>
      </c>
      <c r="H21" s="1">
        <v>18.0</v>
      </c>
      <c r="I21" s="1">
        <v>0.0</v>
      </c>
      <c r="J21" s="1">
        <v>18.0</v>
      </c>
      <c r="K21" s="1">
        <v>0.0</v>
      </c>
      <c r="L21" s="1">
        <v>20.2233704000245</v>
      </c>
      <c r="V21" s="1">
        <v>20.2075732999946</v>
      </c>
      <c r="W21" s="1">
        <v>20.2233704000245</v>
      </c>
      <c r="X21" s="1">
        <v>20.7064026999287</v>
      </c>
      <c r="Y21" s="1">
        <v>20.7064026999287</v>
      </c>
      <c r="Z21" s="1">
        <v>20.7064026999287</v>
      </c>
      <c r="AA21" s="1">
        <v>20.9572660999838</v>
      </c>
      <c r="AB21" s="1" t="s">
        <v>48</v>
      </c>
      <c r="AC21" s="1">
        <v>0.247309899888932</v>
      </c>
      <c r="AD21" s="1" t="s">
        <v>43</v>
      </c>
      <c r="AI21" s="1">
        <v>1.0</v>
      </c>
      <c r="AJ21" s="1">
        <v>1.0</v>
      </c>
      <c r="AK21" s="1" t="s">
        <v>44</v>
      </c>
      <c r="AL21" s="1" t="s">
        <v>45</v>
      </c>
      <c r="AN21" s="1" t="s">
        <v>46</v>
      </c>
      <c r="AO21" s="1">
        <v>59.8772277453874</v>
      </c>
      <c r="AP21" s="1" t="s">
        <v>47</v>
      </c>
    </row>
    <row r="22">
      <c r="A22" s="1">
        <v>19.0</v>
      </c>
      <c r="B22" s="1">
        <v>0.0</v>
      </c>
      <c r="C22" s="1">
        <v>19.0</v>
      </c>
      <c r="D22" s="1" t="s">
        <v>48</v>
      </c>
      <c r="E22" s="1">
        <v>0.244221899891272</v>
      </c>
      <c r="F22" s="1">
        <f t="shared" si="1"/>
        <v>244.2218999</v>
      </c>
      <c r="G22" s="1" t="s">
        <v>43</v>
      </c>
      <c r="H22" s="1">
        <v>19.0</v>
      </c>
      <c r="I22" s="1">
        <v>0.0</v>
      </c>
      <c r="J22" s="1">
        <v>19.0</v>
      </c>
      <c r="K22" s="1">
        <v>0.0</v>
      </c>
      <c r="L22" s="1">
        <v>20.9731811999809</v>
      </c>
      <c r="V22" s="1">
        <v>20.9575888998806</v>
      </c>
      <c r="W22" s="1">
        <v>20.9731811999809</v>
      </c>
      <c r="X22" s="1">
        <v>21.4730322000104</v>
      </c>
      <c r="Y22" s="1">
        <v>21.4730322000104</v>
      </c>
      <c r="Z22" s="1">
        <v>21.4730322000104</v>
      </c>
      <c r="AA22" s="1">
        <v>21.7237946998793</v>
      </c>
      <c r="AB22" s="1" t="s">
        <v>48</v>
      </c>
      <c r="AC22" s="1">
        <v>0.244221899891272</v>
      </c>
      <c r="AD22" s="1" t="s">
        <v>43</v>
      </c>
      <c r="AI22" s="1">
        <v>1.0</v>
      </c>
      <c r="AJ22" s="1">
        <v>1.0</v>
      </c>
      <c r="AK22" s="1" t="s">
        <v>44</v>
      </c>
      <c r="AL22" s="1" t="s">
        <v>45</v>
      </c>
      <c r="AN22" s="1" t="s">
        <v>46</v>
      </c>
      <c r="AO22" s="1">
        <v>59.8772277453874</v>
      </c>
      <c r="AP22" s="1" t="s">
        <v>47</v>
      </c>
    </row>
    <row r="23">
      <c r="A23" s="1">
        <v>20.0</v>
      </c>
      <c r="B23" s="1">
        <v>0.0</v>
      </c>
      <c r="C23" s="1">
        <v>20.0</v>
      </c>
      <c r="D23" s="1" t="s">
        <v>48</v>
      </c>
      <c r="E23" s="1">
        <v>0.275059500010684</v>
      </c>
      <c r="F23" s="1">
        <f t="shared" si="1"/>
        <v>275.0595</v>
      </c>
      <c r="G23" s="1" t="s">
        <v>43</v>
      </c>
      <c r="H23" s="1">
        <v>20.0</v>
      </c>
      <c r="I23" s="1">
        <v>0.0</v>
      </c>
      <c r="J23" s="1">
        <v>20.0</v>
      </c>
      <c r="K23" s="1">
        <v>0.0</v>
      </c>
      <c r="L23" s="1">
        <v>21.7397479999344</v>
      </c>
      <c r="V23" s="1">
        <v>21.7241076999343</v>
      </c>
      <c r="W23" s="1">
        <v>21.7397479999344</v>
      </c>
      <c r="X23" s="1">
        <v>22.2232969999313</v>
      </c>
      <c r="Y23" s="1">
        <v>22.2232969999313</v>
      </c>
      <c r="Z23" s="1">
        <v>22.2232969999313</v>
      </c>
      <c r="AA23" s="1">
        <v>22.5075500998646</v>
      </c>
      <c r="AB23" s="1" t="s">
        <v>48</v>
      </c>
      <c r="AC23" s="1">
        <v>0.275059500010684</v>
      </c>
      <c r="AD23" s="1" t="s">
        <v>43</v>
      </c>
      <c r="AI23" s="1">
        <v>1.0</v>
      </c>
      <c r="AJ23" s="1">
        <v>1.0</v>
      </c>
      <c r="AK23" s="1" t="s">
        <v>44</v>
      </c>
      <c r="AL23" s="1" t="s">
        <v>45</v>
      </c>
      <c r="AN23" s="1" t="s">
        <v>46</v>
      </c>
      <c r="AO23" s="1">
        <v>59.8772277453874</v>
      </c>
      <c r="AP23" s="1" t="s">
        <v>47</v>
      </c>
    </row>
    <row r="24">
      <c r="A24" s="1">
        <v>21.0</v>
      </c>
      <c r="B24" s="1">
        <v>0.0</v>
      </c>
      <c r="C24" s="1">
        <v>21.0</v>
      </c>
      <c r="D24" s="1" t="s">
        <v>48</v>
      </c>
      <c r="E24" s="1">
        <v>0.233191599836573</v>
      </c>
      <c r="F24" s="1">
        <f t="shared" si="1"/>
        <v>233.1915998</v>
      </c>
      <c r="G24" s="1" t="s">
        <v>43</v>
      </c>
      <c r="H24" s="1">
        <v>21.0</v>
      </c>
      <c r="I24" s="1">
        <v>0.0</v>
      </c>
      <c r="J24" s="1">
        <v>21.0</v>
      </c>
      <c r="K24" s="1">
        <v>0.0</v>
      </c>
      <c r="L24" s="1">
        <v>22.5229892998468</v>
      </c>
      <c r="V24" s="1">
        <v>22.5078634999226</v>
      </c>
      <c r="W24" s="1">
        <v>22.5229892998468</v>
      </c>
      <c r="X24" s="1">
        <v>23.023100099992</v>
      </c>
      <c r="Y24" s="1">
        <v>23.023100099992</v>
      </c>
      <c r="Z24" s="1">
        <v>23.023100099992</v>
      </c>
      <c r="AA24" s="1">
        <v>23.2575375000014</v>
      </c>
      <c r="AB24" s="1" t="s">
        <v>48</v>
      </c>
      <c r="AC24" s="1">
        <v>0.233191599836573</v>
      </c>
      <c r="AD24" s="1" t="s">
        <v>43</v>
      </c>
      <c r="AI24" s="1">
        <v>1.0</v>
      </c>
      <c r="AJ24" s="1">
        <v>1.0</v>
      </c>
      <c r="AK24" s="1" t="s">
        <v>44</v>
      </c>
      <c r="AL24" s="1" t="s">
        <v>45</v>
      </c>
      <c r="AN24" s="1" t="s">
        <v>46</v>
      </c>
      <c r="AO24" s="1">
        <v>59.8772277453874</v>
      </c>
      <c r="AP24" s="1" t="s">
        <v>47</v>
      </c>
    </row>
    <row r="25">
      <c r="A25" s="1">
        <v>22.0</v>
      </c>
      <c r="B25" s="1">
        <v>0.0</v>
      </c>
      <c r="C25" s="1">
        <v>22.0</v>
      </c>
      <c r="D25" s="1" t="s">
        <v>48</v>
      </c>
      <c r="E25" s="1">
        <v>0.250658300006762</v>
      </c>
      <c r="F25" s="1">
        <f t="shared" si="1"/>
        <v>250.6583</v>
      </c>
      <c r="G25" s="1" t="s">
        <v>43</v>
      </c>
      <c r="H25" s="1">
        <v>22.0</v>
      </c>
      <c r="I25" s="1">
        <v>0.0</v>
      </c>
      <c r="J25" s="1">
        <v>22.0</v>
      </c>
      <c r="K25" s="1">
        <v>0.0</v>
      </c>
      <c r="L25" s="1">
        <v>23.2734150998294</v>
      </c>
      <c r="V25" s="1">
        <v>23.2579653998836</v>
      </c>
      <c r="W25" s="1">
        <v>23.2734150998294</v>
      </c>
      <c r="X25" s="1">
        <v>23.7733295999933</v>
      </c>
      <c r="Y25" s="1">
        <v>23.7733295999933</v>
      </c>
      <c r="Z25" s="1">
        <v>23.7733295999933</v>
      </c>
      <c r="AA25" s="1">
        <v>24.0402432999108</v>
      </c>
      <c r="AB25" s="1" t="s">
        <v>48</v>
      </c>
      <c r="AC25" s="1">
        <v>0.250658300006762</v>
      </c>
      <c r="AD25" s="1" t="s">
        <v>43</v>
      </c>
      <c r="AI25" s="1">
        <v>1.0</v>
      </c>
      <c r="AJ25" s="1">
        <v>1.0</v>
      </c>
      <c r="AK25" s="1" t="s">
        <v>44</v>
      </c>
      <c r="AL25" s="1" t="s">
        <v>45</v>
      </c>
      <c r="AN25" s="1" t="s">
        <v>46</v>
      </c>
      <c r="AO25" s="1">
        <v>59.8772277453874</v>
      </c>
      <c r="AP25" s="1" t="s">
        <v>47</v>
      </c>
    </row>
    <row r="26">
      <c r="A26" s="1">
        <v>23.0</v>
      </c>
      <c r="B26" s="1">
        <v>0.0</v>
      </c>
      <c r="C26" s="1">
        <v>23.0</v>
      </c>
      <c r="D26" s="1" t="s">
        <v>48</v>
      </c>
      <c r="E26" s="1">
        <v>0.235732400091364</v>
      </c>
      <c r="F26" s="1">
        <f t="shared" si="1"/>
        <v>235.7324001</v>
      </c>
      <c r="G26" s="1" t="s">
        <v>43</v>
      </c>
      <c r="H26" s="1">
        <v>23.0</v>
      </c>
      <c r="I26" s="1">
        <v>0.0</v>
      </c>
      <c r="J26" s="1">
        <v>23.0</v>
      </c>
      <c r="K26" s="1">
        <v>0.0</v>
      </c>
      <c r="L26" s="1">
        <v>24.0566944000311</v>
      </c>
      <c r="P26" s="3" t="s">
        <v>49</v>
      </c>
      <c r="Q26" s="4">
        <f>AVERAGE(E3:E52)*1000</f>
        <v>261.782198</v>
      </c>
      <c r="V26" s="1">
        <v>24.0405500000342</v>
      </c>
      <c r="W26" s="1">
        <v>24.0566944000311</v>
      </c>
      <c r="X26" s="1">
        <v>24.5395684000104</v>
      </c>
      <c r="Y26" s="1">
        <v>24.5395684000104</v>
      </c>
      <c r="Z26" s="1">
        <v>24.5395684000104</v>
      </c>
      <c r="AA26" s="1">
        <v>24.7905256999656</v>
      </c>
      <c r="AB26" s="1" t="s">
        <v>48</v>
      </c>
      <c r="AC26" s="1">
        <v>0.235732400091364</v>
      </c>
      <c r="AD26" s="1" t="s">
        <v>43</v>
      </c>
      <c r="AI26" s="1">
        <v>1.0</v>
      </c>
      <c r="AJ26" s="1">
        <v>1.0</v>
      </c>
      <c r="AK26" s="1" t="s">
        <v>44</v>
      </c>
      <c r="AL26" s="1" t="s">
        <v>45</v>
      </c>
      <c r="AN26" s="1" t="s">
        <v>46</v>
      </c>
      <c r="AO26" s="1">
        <v>59.8772277453874</v>
      </c>
      <c r="AP26" s="1" t="s">
        <v>47</v>
      </c>
    </row>
    <row r="27">
      <c r="A27" s="1">
        <v>24.0</v>
      </c>
      <c r="B27" s="1">
        <v>0.0</v>
      </c>
      <c r="C27" s="1">
        <v>24.0</v>
      </c>
      <c r="D27" s="1" t="s">
        <v>48</v>
      </c>
      <c r="E27" s="1">
        <v>0.248820200096815</v>
      </c>
      <c r="F27" s="1">
        <f t="shared" si="1"/>
        <v>248.8202001</v>
      </c>
      <c r="G27" s="1" t="s">
        <v>43</v>
      </c>
      <c r="H27" s="1">
        <v>24.0</v>
      </c>
      <c r="I27" s="1">
        <v>0.0</v>
      </c>
      <c r="J27" s="1">
        <v>24.0</v>
      </c>
      <c r="K27" s="1">
        <v>0.0</v>
      </c>
      <c r="L27" s="1">
        <v>24.80658019986</v>
      </c>
      <c r="P27" s="3" t="s">
        <v>50</v>
      </c>
      <c r="Q27" s="4">
        <f>_xlfn.STDEV.S(E3:E52)</f>
        <v>0.02912152916</v>
      </c>
      <c r="V27" s="1">
        <v>24.7907481999136</v>
      </c>
      <c r="W27" s="1">
        <v>24.80658019986</v>
      </c>
      <c r="X27" s="1">
        <v>25.2896473999135</v>
      </c>
      <c r="Y27" s="1">
        <v>25.2896473999135</v>
      </c>
      <c r="Z27" s="1">
        <v>25.2896473999135</v>
      </c>
      <c r="AA27" s="1">
        <v>25.5465034998487</v>
      </c>
      <c r="AB27" s="1" t="s">
        <v>48</v>
      </c>
      <c r="AC27" s="1">
        <v>0.248820200096815</v>
      </c>
      <c r="AD27" s="1" t="s">
        <v>43</v>
      </c>
      <c r="AI27" s="1">
        <v>1.0</v>
      </c>
      <c r="AJ27" s="1">
        <v>1.0</v>
      </c>
      <c r="AK27" s="1" t="s">
        <v>44</v>
      </c>
      <c r="AL27" s="1" t="s">
        <v>45</v>
      </c>
      <c r="AN27" s="1" t="s">
        <v>46</v>
      </c>
      <c r="AO27" s="1">
        <v>59.8772277453874</v>
      </c>
      <c r="AP27" s="1" t="s">
        <v>47</v>
      </c>
    </row>
    <row r="28">
      <c r="A28" s="1">
        <v>25.0</v>
      </c>
      <c r="B28" s="1">
        <v>0.0</v>
      </c>
      <c r="C28" s="1">
        <v>25.0</v>
      </c>
      <c r="D28" s="1" t="s">
        <v>48</v>
      </c>
      <c r="E28" s="1">
        <v>0.331804899964481</v>
      </c>
      <c r="F28" s="1">
        <f t="shared" si="1"/>
        <v>331.8049</v>
      </c>
      <c r="G28" s="1" t="s">
        <v>43</v>
      </c>
      <c r="H28" s="1">
        <v>25.0</v>
      </c>
      <c r="I28" s="1">
        <v>0.0</v>
      </c>
      <c r="J28" s="1">
        <v>25.0</v>
      </c>
      <c r="K28" s="1">
        <v>0.0</v>
      </c>
      <c r="L28" s="1">
        <v>25.5563282000366</v>
      </c>
      <c r="P28" s="3" t="s">
        <v>51</v>
      </c>
      <c r="Q28" s="4">
        <f>median(E3:E52)</f>
        <v>0.2596508</v>
      </c>
      <c r="V28" s="1">
        <v>25.5468423999845</v>
      </c>
      <c r="W28" s="1">
        <v>25.5563282000366</v>
      </c>
      <c r="X28" s="1">
        <v>26.0563479999545</v>
      </c>
      <c r="Y28" s="1">
        <v>26.0563479999545</v>
      </c>
      <c r="Z28" s="1">
        <v>26.0563479999545</v>
      </c>
      <c r="AA28" s="1">
        <v>26.3913765000179</v>
      </c>
      <c r="AB28" s="1" t="s">
        <v>48</v>
      </c>
      <c r="AC28" s="1">
        <v>0.331804899964481</v>
      </c>
      <c r="AD28" s="1" t="s">
        <v>43</v>
      </c>
      <c r="AI28" s="1">
        <v>1.0</v>
      </c>
      <c r="AJ28" s="1">
        <v>1.0</v>
      </c>
      <c r="AK28" s="1" t="s">
        <v>44</v>
      </c>
      <c r="AL28" s="1" t="s">
        <v>45</v>
      </c>
      <c r="AN28" s="1" t="s">
        <v>46</v>
      </c>
      <c r="AO28" s="1">
        <v>59.8772277453874</v>
      </c>
      <c r="AP28" s="1" t="s">
        <v>47</v>
      </c>
    </row>
    <row r="29">
      <c r="A29" s="1">
        <v>26.0</v>
      </c>
      <c r="B29" s="1">
        <v>0.0</v>
      </c>
      <c r="C29" s="1">
        <v>26.0</v>
      </c>
      <c r="D29" s="1" t="s">
        <v>48</v>
      </c>
      <c r="E29" s="1">
        <v>0.260977199999615</v>
      </c>
      <c r="F29" s="1">
        <f t="shared" si="1"/>
        <v>260.9772</v>
      </c>
      <c r="G29" s="1" t="s">
        <v>43</v>
      </c>
      <c r="H29" s="1">
        <v>26.0</v>
      </c>
      <c r="I29" s="1">
        <v>0.0</v>
      </c>
      <c r="J29" s="1">
        <v>26.0</v>
      </c>
      <c r="K29" s="1">
        <v>0.0</v>
      </c>
      <c r="L29" s="1">
        <v>26.4074017999228</v>
      </c>
      <c r="P29" s="3" t="s">
        <v>52</v>
      </c>
      <c r="Q29" s="4">
        <f>MIN(E3:E52)</f>
        <v>0.1976516999</v>
      </c>
      <c r="V29" s="1">
        <v>26.3916156999766</v>
      </c>
      <c r="W29" s="1">
        <v>26.4074017999228</v>
      </c>
      <c r="X29" s="1">
        <v>26.9066113999579</v>
      </c>
      <c r="Y29" s="1">
        <v>26.9066113999579</v>
      </c>
      <c r="Z29" s="1">
        <v>26.9066113999579</v>
      </c>
      <c r="AA29" s="1">
        <v>27.1744877998717</v>
      </c>
      <c r="AB29" s="1" t="s">
        <v>48</v>
      </c>
      <c r="AC29" s="1">
        <v>0.260977199999615</v>
      </c>
      <c r="AD29" s="1" t="s">
        <v>43</v>
      </c>
      <c r="AI29" s="1">
        <v>1.0</v>
      </c>
      <c r="AJ29" s="1">
        <v>1.0</v>
      </c>
      <c r="AK29" s="1" t="s">
        <v>44</v>
      </c>
      <c r="AL29" s="1" t="s">
        <v>45</v>
      </c>
      <c r="AN29" s="1" t="s">
        <v>46</v>
      </c>
      <c r="AO29" s="1">
        <v>59.8772277453874</v>
      </c>
      <c r="AP29" s="1" t="s">
        <v>47</v>
      </c>
    </row>
    <row r="30">
      <c r="A30" s="1">
        <v>27.0</v>
      </c>
      <c r="B30" s="1">
        <v>0.0</v>
      </c>
      <c r="C30" s="1">
        <v>27.0</v>
      </c>
      <c r="D30" s="1" t="s">
        <v>48</v>
      </c>
      <c r="E30" s="1">
        <v>0.258826199918985</v>
      </c>
      <c r="F30" s="1">
        <f t="shared" si="1"/>
        <v>258.8261999</v>
      </c>
      <c r="G30" s="1" t="s">
        <v>43</v>
      </c>
      <c r="H30" s="1">
        <v>27.0</v>
      </c>
      <c r="I30" s="1">
        <v>0.0</v>
      </c>
      <c r="J30" s="1">
        <v>27.0</v>
      </c>
      <c r="K30" s="1">
        <v>0.0</v>
      </c>
      <c r="L30" s="1">
        <v>27.189459499903</v>
      </c>
      <c r="P30" s="3" t="s">
        <v>53</v>
      </c>
      <c r="Q30" s="4">
        <f>MAX(E3:E52)</f>
        <v>0.3666319</v>
      </c>
      <c r="V30" s="1">
        <v>27.1747261998243</v>
      </c>
      <c r="W30" s="1">
        <v>27.189459499903</v>
      </c>
      <c r="X30" s="1">
        <v>27.6894708999898</v>
      </c>
      <c r="Y30" s="1">
        <v>27.6894708999898</v>
      </c>
      <c r="Z30" s="1">
        <v>27.6894708999898</v>
      </c>
      <c r="AA30" s="1">
        <v>27.9571110999677</v>
      </c>
      <c r="AB30" s="1" t="s">
        <v>48</v>
      </c>
      <c r="AC30" s="1">
        <v>0.258826199918985</v>
      </c>
      <c r="AD30" s="1" t="s">
        <v>43</v>
      </c>
      <c r="AI30" s="1">
        <v>1.0</v>
      </c>
      <c r="AJ30" s="1">
        <v>1.0</v>
      </c>
      <c r="AK30" s="1" t="s">
        <v>44</v>
      </c>
      <c r="AL30" s="1" t="s">
        <v>45</v>
      </c>
      <c r="AN30" s="1" t="s">
        <v>46</v>
      </c>
      <c r="AO30" s="1">
        <v>59.8772277453874</v>
      </c>
      <c r="AP30" s="1" t="s">
        <v>47</v>
      </c>
    </row>
    <row r="31">
      <c r="A31" s="1">
        <v>28.0</v>
      </c>
      <c r="B31" s="1">
        <v>0.0</v>
      </c>
      <c r="C31" s="1">
        <v>28.0</v>
      </c>
      <c r="D31" s="1" t="s">
        <v>48</v>
      </c>
      <c r="E31" s="1">
        <v>0.287784799933433</v>
      </c>
      <c r="F31" s="1">
        <f t="shared" si="1"/>
        <v>287.7847999</v>
      </c>
      <c r="G31" s="1" t="s">
        <v>43</v>
      </c>
      <c r="H31" s="1">
        <v>28.0</v>
      </c>
      <c r="I31" s="1">
        <v>0.0</v>
      </c>
      <c r="J31" s="1">
        <v>28.0</v>
      </c>
      <c r="K31" s="1">
        <v>0.0</v>
      </c>
      <c r="L31" s="1">
        <v>27.9729555998928</v>
      </c>
      <c r="V31" s="1">
        <v>27.9573430998716</v>
      </c>
      <c r="W31" s="1">
        <v>27.9729555998928</v>
      </c>
      <c r="X31" s="1">
        <v>28.456634099828</v>
      </c>
      <c r="Y31" s="1">
        <v>28.456634099828</v>
      </c>
      <c r="Z31" s="1">
        <v>28.456634099828</v>
      </c>
      <c r="AA31" s="1">
        <v>28.7570819999091</v>
      </c>
      <c r="AB31" s="1" t="s">
        <v>48</v>
      </c>
      <c r="AC31" s="1">
        <v>0.287784799933433</v>
      </c>
      <c r="AD31" s="1" t="s">
        <v>43</v>
      </c>
      <c r="AI31" s="1">
        <v>1.0</v>
      </c>
      <c r="AJ31" s="1">
        <v>1.0</v>
      </c>
      <c r="AK31" s="1" t="s">
        <v>44</v>
      </c>
      <c r="AL31" s="1" t="s">
        <v>45</v>
      </c>
      <c r="AN31" s="1" t="s">
        <v>46</v>
      </c>
      <c r="AO31" s="1">
        <v>59.8772277453874</v>
      </c>
      <c r="AP31" s="1" t="s">
        <v>47</v>
      </c>
    </row>
    <row r="32">
      <c r="A32" s="1">
        <v>29.0</v>
      </c>
      <c r="B32" s="1">
        <v>0.0</v>
      </c>
      <c r="C32" s="1">
        <v>29.0</v>
      </c>
      <c r="D32" s="1" t="s">
        <v>48</v>
      </c>
      <c r="E32" s="1">
        <v>0.262271099956706</v>
      </c>
      <c r="F32" s="1">
        <f t="shared" si="1"/>
        <v>262.2711</v>
      </c>
      <c r="G32" s="1" t="s">
        <v>43</v>
      </c>
      <c r="H32" s="1">
        <v>29.0</v>
      </c>
      <c r="I32" s="1">
        <v>0.0</v>
      </c>
      <c r="J32" s="1">
        <v>29.0</v>
      </c>
      <c r="K32" s="1">
        <v>0.0</v>
      </c>
      <c r="L32" s="1">
        <v>28.7729122999589</v>
      </c>
      <c r="V32" s="1">
        <v>28.7573120999149</v>
      </c>
      <c r="W32" s="1">
        <v>28.7729122999589</v>
      </c>
      <c r="X32" s="1">
        <v>29.2730590999126</v>
      </c>
      <c r="Y32" s="1">
        <v>29.2730590999126</v>
      </c>
      <c r="Z32" s="1">
        <v>29.2730590999126</v>
      </c>
      <c r="AA32" s="1">
        <v>29.540293799946</v>
      </c>
      <c r="AB32" s="1" t="s">
        <v>48</v>
      </c>
      <c r="AC32" s="1">
        <v>0.262271099956706</v>
      </c>
      <c r="AD32" s="1" t="s">
        <v>43</v>
      </c>
      <c r="AI32" s="1">
        <v>1.0</v>
      </c>
      <c r="AJ32" s="1">
        <v>1.0</v>
      </c>
      <c r="AK32" s="1" t="s">
        <v>44</v>
      </c>
      <c r="AL32" s="1" t="s">
        <v>45</v>
      </c>
      <c r="AN32" s="1" t="s">
        <v>46</v>
      </c>
      <c r="AO32" s="1">
        <v>59.8772277453874</v>
      </c>
      <c r="AP32" s="1" t="s">
        <v>47</v>
      </c>
    </row>
    <row r="33">
      <c r="A33" s="1">
        <v>30.0</v>
      </c>
      <c r="B33" s="1">
        <v>0.0</v>
      </c>
      <c r="C33" s="1">
        <v>30.0</v>
      </c>
      <c r="D33" s="1" t="s">
        <v>48</v>
      </c>
      <c r="E33" s="1">
        <v>0.253703800030052</v>
      </c>
      <c r="F33" s="1">
        <f t="shared" si="1"/>
        <v>253.7038</v>
      </c>
      <c r="G33" s="1" t="s">
        <v>43</v>
      </c>
      <c r="H33" s="1">
        <v>30.0</v>
      </c>
      <c r="I33" s="1">
        <v>0.0</v>
      </c>
      <c r="J33" s="1">
        <v>30.0</v>
      </c>
      <c r="K33" s="1">
        <v>0.0</v>
      </c>
      <c r="L33" s="1">
        <v>29.5562670000363</v>
      </c>
      <c r="V33" s="1">
        <v>29.5407630000263</v>
      </c>
      <c r="W33" s="1">
        <v>29.5562670000363</v>
      </c>
      <c r="X33" s="1">
        <v>30.0396161000244</v>
      </c>
      <c r="Y33" s="1">
        <v>30.0396161000244</v>
      </c>
      <c r="Z33" s="1">
        <v>30.0396161000244</v>
      </c>
      <c r="AA33" s="1">
        <v>30.3075383999384</v>
      </c>
      <c r="AB33" s="1" t="s">
        <v>48</v>
      </c>
      <c r="AC33" s="1">
        <v>0.253703800030052</v>
      </c>
      <c r="AD33" s="1" t="s">
        <v>43</v>
      </c>
      <c r="AI33" s="1">
        <v>1.0</v>
      </c>
      <c r="AJ33" s="1">
        <v>1.0</v>
      </c>
      <c r="AK33" s="1" t="s">
        <v>44</v>
      </c>
      <c r="AL33" s="1" t="s">
        <v>45</v>
      </c>
      <c r="AN33" s="1" t="s">
        <v>46</v>
      </c>
      <c r="AO33" s="1">
        <v>59.8772277453874</v>
      </c>
      <c r="AP33" s="1" t="s">
        <v>47</v>
      </c>
    </row>
    <row r="34">
      <c r="A34" s="1">
        <v>31.0</v>
      </c>
      <c r="B34" s="1">
        <v>0.0</v>
      </c>
      <c r="C34" s="1">
        <v>31.0</v>
      </c>
      <c r="D34" s="1" t="s">
        <v>48</v>
      </c>
      <c r="E34" s="1">
        <v>0.258833900094032</v>
      </c>
      <c r="F34" s="1">
        <f t="shared" si="1"/>
        <v>258.8339001</v>
      </c>
      <c r="G34" s="1" t="s">
        <v>43</v>
      </c>
      <c r="H34" s="1">
        <v>31.0</v>
      </c>
      <c r="I34" s="1">
        <v>0.0</v>
      </c>
      <c r="J34" s="1">
        <v>31.0</v>
      </c>
      <c r="K34" s="1">
        <v>0.0</v>
      </c>
      <c r="L34" s="1">
        <v>30.3230760998558</v>
      </c>
      <c r="V34" s="1">
        <v>30.3077600998803</v>
      </c>
      <c r="W34" s="1">
        <v>30.3230760998558</v>
      </c>
      <c r="X34" s="1">
        <v>30.8229938999284</v>
      </c>
      <c r="Y34" s="1">
        <v>30.8229938999284</v>
      </c>
      <c r="Z34" s="1">
        <v>30.8229938999284</v>
      </c>
      <c r="AA34" s="1">
        <v>31.090234800009</v>
      </c>
      <c r="AB34" s="1" t="s">
        <v>48</v>
      </c>
      <c r="AC34" s="1">
        <v>0.258833900094032</v>
      </c>
      <c r="AD34" s="1" t="s">
        <v>43</v>
      </c>
      <c r="AI34" s="1">
        <v>1.0</v>
      </c>
      <c r="AJ34" s="1">
        <v>1.0</v>
      </c>
      <c r="AK34" s="1" t="s">
        <v>44</v>
      </c>
      <c r="AL34" s="1" t="s">
        <v>45</v>
      </c>
      <c r="AN34" s="1" t="s">
        <v>46</v>
      </c>
      <c r="AO34" s="1">
        <v>59.8772277453874</v>
      </c>
      <c r="AP34" s="1" t="s">
        <v>47</v>
      </c>
    </row>
    <row r="35">
      <c r="A35" s="1">
        <v>32.0</v>
      </c>
      <c r="B35" s="1">
        <v>0.0</v>
      </c>
      <c r="C35" s="1">
        <v>32.0</v>
      </c>
      <c r="D35" s="1" t="s">
        <v>48</v>
      </c>
      <c r="E35" s="1">
        <v>0.268858999945223</v>
      </c>
      <c r="F35" s="1">
        <f t="shared" si="1"/>
        <v>268.8589999</v>
      </c>
      <c r="G35" s="1" t="s">
        <v>43</v>
      </c>
      <c r="H35" s="1">
        <v>32.0</v>
      </c>
      <c r="I35" s="1">
        <v>0.0</v>
      </c>
      <c r="J35" s="1">
        <v>32.0</v>
      </c>
      <c r="K35" s="1">
        <v>0.0</v>
      </c>
      <c r="L35" s="1">
        <v>31.1064424999058</v>
      </c>
      <c r="V35" s="1">
        <v>31.0905344998464</v>
      </c>
      <c r="W35" s="1">
        <v>31.1064424999058</v>
      </c>
      <c r="X35" s="1">
        <v>31.5894199998583</v>
      </c>
      <c r="Y35" s="1">
        <v>31.5894199998583</v>
      </c>
      <c r="Z35" s="1">
        <v>31.5894199998583</v>
      </c>
      <c r="AA35" s="1">
        <v>31.8736819999758</v>
      </c>
      <c r="AB35" s="1" t="s">
        <v>48</v>
      </c>
      <c r="AC35" s="1">
        <v>0.268858999945223</v>
      </c>
      <c r="AD35" s="1" t="s">
        <v>43</v>
      </c>
      <c r="AI35" s="1">
        <v>1.0</v>
      </c>
      <c r="AJ35" s="1">
        <v>1.0</v>
      </c>
      <c r="AK35" s="1" t="s">
        <v>44</v>
      </c>
      <c r="AL35" s="1" t="s">
        <v>45</v>
      </c>
      <c r="AN35" s="1" t="s">
        <v>46</v>
      </c>
      <c r="AO35" s="1">
        <v>59.8772277453874</v>
      </c>
      <c r="AP35" s="1" t="s">
        <v>47</v>
      </c>
    </row>
    <row r="36">
      <c r="A36" s="1">
        <v>33.0</v>
      </c>
      <c r="B36" s="1">
        <v>0.0</v>
      </c>
      <c r="C36" s="1">
        <v>33.0</v>
      </c>
      <c r="D36" s="1" t="s">
        <v>48</v>
      </c>
      <c r="E36" s="1">
        <v>0.241536100162193</v>
      </c>
      <c r="F36" s="1">
        <f t="shared" si="1"/>
        <v>241.5361002</v>
      </c>
      <c r="G36" s="1" t="s">
        <v>43</v>
      </c>
      <c r="H36" s="1">
        <v>33.0</v>
      </c>
      <c r="I36" s="1">
        <v>0.0</v>
      </c>
      <c r="J36" s="1">
        <v>33.0</v>
      </c>
      <c r="K36" s="1">
        <v>0.0</v>
      </c>
      <c r="L36" s="1">
        <v>31.8893879000097</v>
      </c>
      <c r="V36" s="1">
        <v>31.87451340002</v>
      </c>
      <c r="W36" s="1">
        <v>31.8893879000097</v>
      </c>
      <c r="X36" s="1">
        <v>32.3728552998509</v>
      </c>
      <c r="Y36" s="1">
        <v>32.3728552998509</v>
      </c>
      <c r="Z36" s="1">
        <v>32.3728552998509</v>
      </c>
      <c r="AA36" s="1">
        <v>32.6235640998929</v>
      </c>
      <c r="AB36" s="1" t="s">
        <v>48</v>
      </c>
      <c r="AC36" s="1">
        <v>0.241536100162193</v>
      </c>
      <c r="AD36" s="1" t="s">
        <v>43</v>
      </c>
      <c r="AI36" s="1">
        <v>1.0</v>
      </c>
      <c r="AJ36" s="1">
        <v>1.0</v>
      </c>
      <c r="AK36" s="1" t="s">
        <v>44</v>
      </c>
      <c r="AL36" s="1" t="s">
        <v>45</v>
      </c>
      <c r="AN36" s="1" t="s">
        <v>46</v>
      </c>
      <c r="AO36" s="1">
        <v>59.8772277453874</v>
      </c>
      <c r="AP36" s="1" t="s">
        <v>47</v>
      </c>
    </row>
    <row r="37">
      <c r="A37" s="1">
        <v>34.0</v>
      </c>
      <c r="B37" s="1">
        <v>0.0</v>
      </c>
      <c r="C37" s="1">
        <v>34.0</v>
      </c>
      <c r="D37" s="1" t="s">
        <v>48</v>
      </c>
      <c r="E37" s="1">
        <v>0.249695200007408</v>
      </c>
      <c r="F37" s="1">
        <f t="shared" si="1"/>
        <v>249.6952</v>
      </c>
      <c r="G37" s="1" t="s">
        <v>43</v>
      </c>
      <c r="H37" s="1">
        <v>34.0</v>
      </c>
      <c r="I37" s="1">
        <v>0.0</v>
      </c>
      <c r="J37" s="1">
        <v>34.0</v>
      </c>
      <c r="K37" s="1">
        <v>0.0</v>
      </c>
      <c r="L37" s="1">
        <v>32.639412399847</v>
      </c>
      <c r="V37" s="1">
        <v>32.624190100003</v>
      </c>
      <c r="W37" s="1">
        <v>32.639412399847</v>
      </c>
      <c r="X37" s="1">
        <v>33.1233146998565</v>
      </c>
      <c r="Y37" s="1">
        <v>33.1233146998565</v>
      </c>
      <c r="Z37" s="1">
        <v>33.1233146998565</v>
      </c>
      <c r="AA37" s="1">
        <v>33.3904866999946</v>
      </c>
      <c r="AB37" s="1" t="s">
        <v>48</v>
      </c>
      <c r="AC37" s="1">
        <v>0.249695200007408</v>
      </c>
      <c r="AD37" s="1" t="s">
        <v>43</v>
      </c>
      <c r="AI37" s="1">
        <v>1.0</v>
      </c>
      <c r="AJ37" s="1">
        <v>1.0</v>
      </c>
      <c r="AK37" s="1" t="s">
        <v>44</v>
      </c>
      <c r="AL37" s="1" t="s">
        <v>45</v>
      </c>
      <c r="AN37" s="1" t="s">
        <v>46</v>
      </c>
      <c r="AO37" s="1">
        <v>59.8772277453874</v>
      </c>
      <c r="AP37" s="1" t="s">
        <v>47</v>
      </c>
    </row>
    <row r="38">
      <c r="A38" s="1">
        <v>35.0</v>
      </c>
      <c r="B38" s="1">
        <v>0.0</v>
      </c>
      <c r="C38" s="1">
        <v>35.0</v>
      </c>
      <c r="D38" s="1" t="s">
        <v>48</v>
      </c>
      <c r="E38" s="1">
        <v>0.225465100025758</v>
      </c>
      <c r="F38" s="1">
        <f t="shared" si="1"/>
        <v>225.4651</v>
      </c>
      <c r="G38" s="1" t="s">
        <v>43</v>
      </c>
      <c r="H38" s="1">
        <v>35.0</v>
      </c>
      <c r="I38" s="1">
        <v>0.0</v>
      </c>
      <c r="J38" s="1">
        <v>35.0</v>
      </c>
      <c r="K38" s="1">
        <v>0.0</v>
      </c>
      <c r="L38" s="1">
        <v>33.4063464000355</v>
      </c>
      <c r="V38" s="1">
        <v>33.3908767998218</v>
      </c>
      <c r="W38" s="1">
        <v>33.4063464000355</v>
      </c>
      <c r="X38" s="1">
        <v>33.9063240999821</v>
      </c>
      <c r="Y38" s="1">
        <v>33.9063240999821</v>
      </c>
      <c r="Z38" s="1">
        <v>33.9063240999821</v>
      </c>
      <c r="AA38" s="1">
        <v>34.140347499866</v>
      </c>
      <c r="AB38" s="1" t="s">
        <v>48</v>
      </c>
      <c r="AC38" s="1">
        <v>0.225465100025758</v>
      </c>
      <c r="AD38" s="1" t="s">
        <v>43</v>
      </c>
      <c r="AI38" s="1">
        <v>1.0</v>
      </c>
      <c r="AJ38" s="1">
        <v>1.0</v>
      </c>
      <c r="AK38" s="1" t="s">
        <v>44</v>
      </c>
      <c r="AL38" s="1" t="s">
        <v>45</v>
      </c>
      <c r="AN38" s="1" t="s">
        <v>46</v>
      </c>
      <c r="AO38" s="1">
        <v>59.8772277453874</v>
      </c>
      <c r="AP38" s="1" t="s">
        <v>47</v>
      </c>
    </row>
    <row r="39">
      <c r="A39" s="1">
        <v>36.0</v>
      </c>
      <c r="B39" s="1">
        <v>0.0</v>
      </c>
      <c r="C39" s="1">
        <v>36.0</v>
      </c>
      <c r="D39" s="1" t="s">
        <v>48</v>
      </c>
      <c r="E39" s="1">
        <v>0.262911200057715</v>
      </c>
      <c r="F39" s="1">
        <f t="shared" si="1"/>
        <v>262.9112001</v>
      </c>
      <c r="G39" s="1" t="s">
        <v>43</v>
      </c>
      <c r="H39" s="1">
        <v>36.0</v>
      </c>
      <c r="I39" s="1">
        <v>0.0</v>
      </c>
      <c r="J39" s="1">
        <v>36.0</v>
      </c>
      <c r="K39" s="1">
        <v>0.0</v>
      </c>
      <c r="L39" s="1">
        <v>34.1561805999372</v>
      </c>
      <c r="V39" s="1">
        <v>34.1406663998495</v>
      </c>
      <c r="W39" s="1">
        <v>34.1561805999372</v>
      </c>
      <c r="X39" s="1">
        <v>34.6396441999822</v>
      </c>
      <c r="Y39" s="1">
        <v>34.6396441999822</v>
      </c>
      <c r="Z39" s="1">
        <v>34.6396441999822</v>
      </c>
      <c r="AA39" s="1">
        <v>34.9069035998545</v>
      </c>
      <c r="AB39" s="1" t="s">
        <v>48</v>
      </c>
      <c r="AC39" s="1">
        <v>0.262911200057715</v>
      </c>
      <c r="AD39" s="1" t="s">
        <v>43</v>
      </c>
      <c r="AI39" s="1">
        <v>1.0</v>
      </c>
      <c r="AJ39" s="1">
        <v>1.0</v>
      </c>
      <c r="AK39" s="1" t="s">
        <v>44</v>
      </c>
      <c r="AL39" s="1" t="s">
        <v>45</v>
      </c>
      <c r="AN39" s="1" t="s">
        <v>46</v>
      </c>
      <c r="AO39" s="1">
        <v>59.8772277453874</v>
      </c>
      <c r="AP39" s="1" t="s">
        <v>47</v>
      </c>
    </row>
    <row r="40">
      <c r="A40" s="1">
        <v>37.0</v>
      </c>
      <c r="B40" s="1">
        <v>0.0</v>
      </c>
      <c r="C40" s="1">
        <v>37.0</v>
      </c>
      <c r="D40" s="1" t="s">
        <v>48</v>
      </c>
      <c r="E40" s="1">
        <v>0.232692199992015</v>
      </c>
      <c r="F40" s="1">
        <f t="shared" si="1"/>
        <v>232.6922</v>
      </c>
      <c r="G40" s="1" t="s">
        <v>43</v>
      </c>
      <c r="H40" s="1">
        <v>37.0</v>
      </c>
      <c r="I40" s="1">
        <v>0.0</v>
      </c>
      <c r="J40" s="1">
        <v>37.0</v>
      </c>
      <c r="K40" s="1">
        <v>0.0</v>
      </c>
      <c r="L40" s="1">
        <v>34.9228626999538</v>
      </c>
      <c r="V40" s="1">
        <v>34.9072223999537</v>
      </c>
      <c r="W40" s="1">
        <v>34.9228626999538</v>
      </c>
      <c r="X40" s="1">
        <v>35.4071944998577</v>
      </c>
      <c r="Y40" s="1">
        <v>35.4071944998577</v>
      </c>
      <c r="Z40" s="1">
        <v>35.4071944998577</v>
      </c>
      <c r="AA40" s="1">
        <v>35.6568815000355</v>
      </c>
      <c r="AB40" s="1" t="s">
        <v>48</v>
      </c>
      <c r="AC40" s="1">
        <v>0.232692199992015</v>
      </c>
      <c r="AD40" s="1" t="s">
        <v>43</v>
      </c>
      <c r="AI40" s="1">
        <v>1.0</v>
      </c>
      <c r="AJ40" s="1">
        <v>1.0</v>
      </c>
      <c r="AK40" s="1" t="s">
        <v>44</v>
      </c>
      <c r="AL40" s="1" t="s">
        <v>45</v>
      </c>
      <c r="AN40" s="1" t="s">
        <v>46</v>
      </c>
      <c r="AO40" s="1">
        <v>59.8772277453874</v>
      </c>
      <c r="AP40" s="1" t="s">
        <v>47</v>
      </c>
    </row>
    <row r="41">
      <c r="A41" s="1">
        <v>38.0</v>
      </c>
      <c r="B41" s="1">
        <v>0.0</v>
      </c>
      <c r="C41" s="1">
        <v>38.0</v>
      </c>
      <c r="D41" s="1" t="s">
        <v>48</v>
      </c>
      <c r="E41" s="1">
        <v>0.234525500098243</v>
      </c>
      <c r="F41" s="1">
        <f t="shared" si="1"/>
        <v>234.5255001</v>
      </c>
      <c r="G41" s="1" t="s">
        <v>43</v>
      </c>
      <c r="H41" s="1">
        <v>38.0</v>
      </c>
      <c r="I41" s="1">
        <v>0.0</v>
      </c>
      <c r="J41" s="1">
        <v>38.0</v>
      </c>
      <c r="K41" s="1">
        <v>0.0</v>
      </c>
      <c r="L41" s="1">
        <v>35.6734668000135</v>
      </c>
      <c r="V41" s="1">
        <v>35.6571657999884</v>
      </c>
      <c r="W41" s="1">
        <v>35.6734668000135</v>
      </c>
      <c r="X41" s="1">
        <v>36.1560898998286</v>
      </c>
      <c r="Y41" s="1">
        <v>36.1560898998286</v>
      </c>
      <c r="Z41" s="1">
        <v>36.1560898998286</v>
      </c>
      <c r="AA41" s="1">
        <v>36.4078174999449</v>
      </c>
      <c r="AB41" s="1" t="s">
        <v>48</v>
      </c>
      <c r="AC41" s="1">
        <v>0.234525500098243</v>
      </c>
      <c r="AD41" s="1" t="s">
        <v>43</v>
      </c>
      <c r="AI41" s="1">
        <v>1.0</v>
      </c>
      <c r="AJ41" s="1">
        <v>1.0</v>
      </c>
      <c r="AK41" s="1" t="s">
        <v>44</v>
      </c>
      <c r="AL41" s="1" t="s">
        <v>45</v>
      </c>
      <c r="AN41" s="1" t="s">
        <v>46</v>
      </c>
      <c r="AO41" s="1">
        <v>59.8772277453874</v>
      </c>
      <c r="AP41" s="1" t="s">
        <v>47</v>
      </c>
    </row>
    <row r="42">
      <c r="A42" s="1">
        <v>39.0</v>
      </c>
      <c r="B42" s="1">
        <v>0.0</v>
      </c>
      <c r="C42" s="1">
        <v>39.0</v>
      </c>
      <c r="D42" s="1" t="s">
        <v>48</v>
      </c>
      <c r="E42" s="1">
        <v>0.268421499989926</v>
      </c>
      <c r="F42" s="1">
        <f t="shared" si="1"/>
        <v>268.4215</v>
      </c>
      <c r="G42" s="1" t="s">
        <v>43</v>
      </c>
      <c r="H42" s="1">
        <v>39.0</v>
      </c>
      <c r="I42" s="1">
        <v>0.0</v>
      </c>
      <c r="J42" s="1">
        <v>39.0</v>
      </c>
      <c r="K42" s="1">
        <v>0.0</v>
      </c>
      <c r="L42" s="1">
        <v>36.4228034999687</v>
      </c>
      <c r="V42" s="1">
        <v>36.4081969000399</v>
      </c>
      <c r="W42" s="1">
        <v>36.4228034999687</v>
      </c>
      <c r="X42" s="1">
        <v>36.9227926998864</v>
      </c>
      <c r="Y42" s="1">
        <v>36.9227926998864</v>
      </c>
      <c r="Z42" s="1">
        <v>36.9227926998864</v>
      </c>
      <c r="AA42" s="1">
        <v>37.2075757000129</v>
      </c>
      <c r="AB42" s="1" t="s">
        <v>48</v>
      </c>
      <c r="AC42" s="1">
        <v>0.268421499989926</v>
      </c>
      <c r="AD42" s="1" t="s">
        <v>43</v>
      </c>
      <c r="AI42" s="1">
        <v>1.0</v>
      </c>
      <c r="AJ42" s="1">
        <v>1.0</v>
      </c>
      <c r="AK42" s="1" t="s">
        <v>44</v>
      </c>
      <c r="AL42" s="1" t="s">
        <v>45</v>
      </c>
      <c r="AN42" s="1" t="s">
        <v>46</v>
      </c>
      <c r="AO42" s="1">
        <v>59.8772277453874</v>
      </c>
      <c r="AP42" s="1" t="s">
        <v>47</v>
      </c>
    </row>
    <row r="43">
      <c r="A43" s="1">
        <v>40.0</v>
      </c>
      <c r="B43" s="1">
        <v>0.0</v>
      </c>
      <c r="C43" s="1">
        <v>40.0</v>
      </c>
      <c r="D43" s="1" t="s">
        <v>48</v>
      </c>
      <c r="E43" s="1">
        <v>0.305862900102511</v>
      </c>
      <c r="F43" s="1">
        <f t="shared" si="1"/>
        <v>305.8629001</v>
      </c>
      <c r="G43" s="1" t="s">
        <v>43</v>
      </c>
      <c r="H43" s="1">
        <v>40.0</v>
      </c>
      <c r="I43" s="1">
        <v>0.0</v>
      </c>
      <c r="J43" s="1">
        <v>40.0</v>
      </c>
      <c r="K43" s="1">
        <v>0.0</v>
      </c>
      <c r="L43" s="1">
        <v>37.2228472998831</v>
      </c>
      <c r="V43" s="1">
        <v>37.207973799901</v>
      </c>
      <c r="W43" s="1">
        <v>37.2228472998831</v>
      </c>
      <c r="X43" s="1">
        <v>37.7228465999942</v>
      </c>
      <c r="Y43" s="1">
        <v>37.7228465999942</v>
      </c>
      <c r="Z43" s="1">
        <v>37.7228465999942</v>
      </c>
      <c r="AA43" s="1">
        <v>38.0402305000461</v>
      </c>
      <c r="AB43" s="1" t="s">
        <v>48</v>
      </c>
      <c r="AC43" s="1">
        <v>0.305862900102511</v>
      </c>
      <c r="AD43" s="1" t="s">
        <v>43</v>
      </c>
      <c r="AI43" s="1">
        <v>1.0</v>
      </c>
      <c r="AJ43" s="1">
        <v>1.0</v>
      </c>
      <c r="AK43" s="1" t="s">
        <v>44</v>
      </c>
      <c r="AL43" s="1" t="s">
        <v>45</v>
      </c>
      <c r="AN43" s="1" t="s">
        <v>46</v>
      </c>
      <c r="AO43" s="1">
        <v>59.8772277453874</v>
      </c>
      <c r="AP43" s="1" t="s">
        <v>47</v>
      </c>
    </row>
    <row r="44">
      <c r="A44" s="1">
        <v>41.0</v>
      </c>
      <c r="B44" s="1">
        <v>0.0</v>
      </c>
      <c r="C44" s="1">
        <v>41.0</v>
      </c>
      <c r="D44" s="1" t="s">
        <v>48</v>
      </c>
      <c r="E44" s="1">
        <v>0.245970700168982</v>
      </c>
      <c r="F44" s="1">
        <f t="shared" si="1"/>
        <v>245.9707002</v>
      </c>
      <c r="G44" s="1" t="s">
        <v>43</v>
      </c>
      <c r="H44" s="1">
        <v>41.0</v>
      </c>
      <c r="I44" s="1">
        <v>0.0</v>
      </c>
      <c r="J44" s="1">
        <v>41.0</v>
      </c>
      <c r="K44" s="1">
        <v>0.0</v>
      </c>
      <c r="L44" s="1">
        <v>38.0560965999029</v>
      </c>
      <c r="V44" s="1">
        <v>38.0405502000357</v>
      </c>
      <c r="W44" s="1">
        <v>38.0560965999029</v>
      </c>
      <c r="X44" s="1">
        <v>38.5394458000082</v>
      </c>
      <c r="Y44" s="1">
        <v>38.5394458000082</v>
      </c>
      <c r="Z44" s="1">
        <v>38.5394458000082</v>
      </c>
      <c r="AA44" s="1">
        <v>38.7903169000055</v>
      </c>
      <c r="AB44" s="1" t="s">
        <v>48</v>
      </c>
      <c r="AC44" s="1">
        <v>0.245970700168982</v>
      </c>
      <c r="AD44" s="1" t="s">
        <v>43</v>
      </c>
      <c r="AI44" s="1">
        <v>1.0</v>
      </c>
      <c r="AJ44" s="1">
        <v>1.0</v>
      </c>
      <c r="AK44" s="1" t="s">
        <v>44</v>
      </c>
      <c r="AL44" s="1" t="s">
        <v>45</v>
      </c>
      <c r="AN44" s="1" t="s">
        <v>46</v>
      </c>
      <c r="AO44" s="1">
        <v>59.8772277453874</v>
      </c>
      <c r="AP44" s="1" t="s">
        <v>47</v>
      </c>
    </row>
    <row r="45">
      <c r="A45" s="1">
        <v>42.0</v>
      </c>
      <c r="B45" s="1">
        <v>0.0</v>
      </c>
      <c r="C45" s="1">
        <v>42.0</v>
      </c>
      <c r="D45" s="1" t="s">
        <v>48</v>
      </c>
      <c r="E45" s="1">
        <v>0.277148499852046</v>
      </c>
      <c r="F45" s="1">
        <f t="shared" si="1"/>
        <v>277.1484999</v>
      </c>
      <c r="G45" s="1" t="s">
        <v>43</v>
      </c>
      <c r="H45" s="1">
        <v>42.0</v>
      </c>
      <c r="I45" s="1">
        <v>0.0</v>
      </c>
      <c r="J45" s="1">
        <v>42.0</v>
      </c>
      <c r="K45" s="1">
        <v>0.0</v>
      </c>
      <c r="L45" s="1">
        <v>38.8060222999192</v>
      </c>
      <c r="V45" s="1">
        <v>38.7906382000073</v>
      </c>
      <c r="W45" s="1">
        <v>38.8060222999192</v>
      </c>
      <c r="X45" s="1">
        <v>39.2902426999062</v>
      </c>
      <c r="Y45" s="1">
        <v>39.2902426999062</v>
      </c>
      <c r="Z45" s="1">
        <v>39.2902426999062</v>
      </c>
      <c r="AA45" s="1">
        <v>39.5740256998688</v>
      </c>
      <c r="AB45" s="1" t="s">
        <v>48</v>
      </c>
      <c r="AC45" s="1">
        <v>0.277148499852046</v>
      </c>
      <c r="AD45" s="1" t="s">
        <v>43</v>
      </c>
      <c r="AI45" s="1">
        <v>1.0</v>
      </c>
      <c r="AJ45" s="1">
        <v>1.0</v>
      </c>
      <c r="AK45" s="1" t="s">
        <v>44</v>
      </c>
      <c r="AL45" s="1" t="s">
        <v>45</v>
      </c>
      <c r="AN45" s="1" t="s">
        <v>46</v>
      </c>
      <c r="AO45" s="1">
        <v>59.8772277453874</v>
      </c>
      <c r="AP45" s="1" t="s">
        <v>47</v>
      </c>
    </row>
    <row r="46">
      <c r="A46" s="1">
        <v>43.0</v>
      </c>
      <c r="B46" s="1">
        <v>0.0</v>
      </c>
      <c r="C46" s="1">
        <v>43.0</v>
      </c>
      <c r="D46" s="1" t="s">
        <v>48</v>
      </c>
      <c r="E46" s="1">
        <v>0.366631899960339</v>
      </c>
      <c r="F46" s="1">
        <f t="shared" si="1"/>
        <v>366.6319</v>
      </c>
      <c r="G46" s="1" t="s">
        <v>43</v>
      </c>
      <c r="H46" s="1">
        <v>43.0</v>
      </c>
      <c r="I46" s="1">
        <v>0.0</v>
      </c>
      <c r="J46" s="1">
        <v>43.0</v>
      </c>
      <c r="K46" s="1">
        <v>0.0</v>
      </c>
      <c r="L46" s="1">
        <v>39.6904579999391</v>
      </c>
      <c r="V46" s="1">
        <v>39.5743527999147</v>
      </c>
      <c r="W46" s="1">
        <v>39.6904579999391</v>
      </c>
      <c r="X46" s="1">
        <v>40.0728471998591</v>
      </c>
      <c r="Y46" s="1">
        <v>40.0728471998591</v>
      </c>
      <c r="Z46" s="1">
        <v>40.0728471998591</v>
      </c>
      <c r="AA46" s="1">
        <v>40.4405048999469</v>
      </c>
      <c r="AB46" s="1" t="s">
        <v>48</v>
      </c>
      <c r="AC46" s="1">
        <v>0.366631899960339</v>
      </c>
      <c r="AD46" s="1" t="s">
        <v>43</v>
      </c>
      <c r="AI46" s="1">
        <v>1.0</v>
      </c>
      <c r="AJ46" s="1">
        <v>1.0</v>
      </c>
      <c r="AK46" s="1" t="s">
        <v>44</v>
      </c>
      <c r="AL46" s="1" t="s">
        <v>45</v>
      </c>
      <c r="AN46" s="1" t="s">
        <v>46</v>
      </c>
      <c r="AO46" s="1">
        <v>59.8772277453874</v>
      </c>
      <c r="AP46" s="1" t="s">
        <v>47</v>
      </c>
    </row>
    <row r="47">
      <c r="A47" s="1">
        <v>44.0</v>
      </c>
      <c r="B47" s="1">
        <v>0.0</v>
      </c>
      <c r="C47" s="1">
        <v>44.0</v>
      </c>
      <c r="D47" s="1" t="s">
        <v>48</v>
      </c>
      <c r="E47" s="1">
        <v>0.272077000001445</v>
      </c>
      <c r="F47" s="1">
        <f t="shared" si="1"/>
        <v>272.077</v>
      </c>
      <c r="G47" s="1" t="s">
        <v>43</v>
      </c>
      <c r="H47" s="1">
        <v>44.0</v>
      </c>
      <c r="I47" s="1">
        <v>0.0</v>
      </c>
      <c r="J47" s="1">
        <v>44.0</v>
      </c>
      <c r="K47" s="1">
        <v>0.0</v>
      </c>
      <c r="L47" s="1">
        <v>40.4560719998553</v>
      </c>
      <c r="V47" s="1">
        <v>40.4408068999182</v>
      </c>
      <c r="W47" s="1">
        <v>40.4560719998553</v>
      </c>
      <c r="X47" s="1">
        <v>40.9560453998856</v>
      </c>
      <c r="Y47" s="1">
        <v>40.9560453998856</v>
      </c>
      <c r="Z47" s="1">
        <v>40.9560453998856</v>
      </c>
      <c r="AA47" s="1">
        <v>41.2403521998785</v>
      </c>
      <c r="AB47" s="1" t="s">
        <v>48</v>
      </c>
      <c r="AC47" s="1">
        <v>0.272077000001445</v>
      </c>
      <c r="AD47" s="1" t="s">
        <v>43</v>
      </c>
      <c r="AI47" s="1">
        <v>1.0</v>
      </c>
      <c r="AJ47" s="1">
        <v>1.0</v>
      </c>
      <c r="AK47" s="1" t="s">
        <v>44</v>
      </c>
      <c r="AL47" s="1" t="s">
        <v>45</v>
      </c>
      <c r="AN47" s="1" t="s">
        <v>46</v>
      </c>
      <c r="AO47" s="1">
        <v>59.8772277453874</v>
      </c>
      <c r="AP47" s="1" t="s">
        <v>47</v>
      </c>
    </row>
    <row r="48">
      <c r="A48" s="1">
        <v>45.0</v>
      </c>
      <c r="B48" s="1">
        <v>0.0</v>
      </c>
      <c r="C48" s="1">
        <v>45.0</v>
      </c>
      <c r="D48" s="1" t="s">
        <v>48</v>
      </c>
      <c r="E48" s="1">
        <v>0.273380599915981</v>
      </c>
      <c r="F48" s="1">
        <f t="shared" si="1"/>
        <v>273.3805999</v>
      </c>
      <c r="G48" s="1" t="s">
        <v>43</v>
      </c>
      <c r="H48" s="1">
        <v>45.0</v>
      </c>
      <c r="I48" s="1">
        <v>0.0</v>
      </c>
      <c r="J48" s="1">
        <v>45.0</v>
      </c>
      <c r="K48" s="1">
        <v>0.0</v>
      </c>
      <c r="L48" s="1">
        <v>41.2559759998694</v>
      </c>
      <c r="V48" s="1">
        <v>41.2406551998574</v>
      </c>
      <c r="W48" s="1">
        <v>41.2559759998694</v>
      </c>
      <c r="X48" s="1">
        <v>41.7392710000276</v>
      </c>
      <c r="Y48" s="1">
        <v>41.7392710000276</v>
      </c>
      <c r="Z48" s="1">
        <v>41.7392710000276</v>
      </c>
      <c r="AA48" s="1">
        <v>42.0236170999705</v>
      </c>
      <c r="AB48" s="1" t="s">
        <v>48</v>
      </c>
      <c r="AC48" s="1">
        <v>0.273380599915981</v>
      </c>
      <c r="AD48" s="1" t="s">
        <v>43</v>
      </c>
      <c r="AI48" s="1">
        <v>1.0</v>
      </c>
      <c r="AJ48" s="1">
        <v>1.0</v>
      </c>
      <c r="AK48" s="1" t="s">
        <v>44</v>
      </c>
      <c r="AL48" s="1" t="s">
        <v>45</v>
      </c>
      <c r="AN48" s="1" t="s">
        <v>46</v>
      </c>
      <c r="AO48" s="1">
        <v>59.8772277453874</v>
      </c>
      <c r="AP48" s="1" t="s">
        <v>47</v>
      </c>
    </row>
    <row r="49">
      <c r="A49" s="1">
        <v>46.0</v>
      </c>
      <c r="B49" s="1">
        <v>0.0</v>
      </c>
      <c r="C49" s="1">
        <v>46.0</v>
      </c>
      <c r="D49" s="1" t="s">
        <v>48</v>
      </c>
      <c r="E49" s="1">
        <v>0.264253200031816</v>
      </c>
      <c r="F49" s="1">
        <f t="shared" si="1"/>
        <v>264.2532</v>
      </c>
      <c r="G49" s="1" t="s">
        <v>43</v>
      </c>
      <c r="H49" s="1">
        <v>46.0</v>
      </c>
      <c r="I49" s="1">
        <v>0.0</v>
      </c>
      <c r="J49" s="1">
        <v>46.0</v>
      </c>
      <c r="K49" s="1">
        <v>0.0</v>
      </c>
      <c r="L49" s="1">
        <v>42.039253699826</v>
      </c>
      <c r="V49" s="1">
        <v>42.0239650998264</v>
      </c>
      <c r="W49" s="1">
        <v>42.039253699826</v>
      </c>
      <c r="X49" s="1">
        <v>42.5392944000195</v>
      </c>
      <c r="Y49" s="1">
        <v>42.5392944000195</v>
      </c>
      <c r="Z49" s="1">
        <v>42.5392944000195</v>
      </c>
      <c r="AA49" s="1">
        <v>42.8067765999585</v>
      </c>
      <c r="AB49" s="1" t="s">
        <v>48</v>
      </c>
      <c r="AC49" s="1">
        <v>0.264253200031816</v>
      </c>
      <c r="AD49" s="1" t="s">
        <v>43</v>
      </c>
      <c r="AI49" s="1">
        <v>1.0</v>
      </c>
      <c r="AJ49" s="1">
        <v>1.0</v>
      </c>
      <c r="AK49" s="1" t="s">
        <v>44</v>
      </c>
      <c r="AL49" s="1" t="s">
        <v>45</v>
      </c>
      <c r="AN49" s="1" t="s">
        <v>46</v>
      </c>
      <c r="AO49" s="1">
        <v>59.8772277453874</v>
      </c>
      <c r="AP49" s="1" t="s">
        <v>47</v>
      </c>
    </row>
    <row r="50">
      <c r="A50" s="1">
        <v>47.0</v>
      </c>
      <c r="B50" s="1">
        <v>0.0</v>
      </c>
      <c r="C50" s="1">
        <v>47.0</v>
      </c>
      <c r="D50" s="1" t="s">
        <v>48</v>
      </c>
      <c r="E50" s="1">
        <v>0.282886900007724</v>
      </c>
      <c r="F50" s="1">
        <f t="shared" si="1"/>
        <v>282.8869</v>
      </c>
      <c r="G50" s="1" t="s">
        <v>43</v>
      </c>
      <c r="H50" s="1">
        <v>47.0</v>
      </c>
      <c r="I50" s="1">
        <v>0.0</v>
      </c>
      <c r="J50" s="1">
        <v>47.0</v>
      </c>
      <c r="K50" s="1">
        <v>0.0</v>
      </c>
      <c r="L50" s="1">
        <v>42.8227350998204</v>
      </c>
      <c r="V50" s="1">
        <v>42.8071496998891</v>
      </c>
      <c r="W50" s="1">
        <v>42.8227350998204</v>
      </c>
      <c r="X50" s="1">
        <v>43.3060353000182</v>
      </c>
      <c r="Y50" s="1">
        <v>43.3060353000182</v>
      </c>
      <c r="Z50" s="1">
        <v>43.3060353000182</v>
      </c>
      <c r="AA50" s="1">
        <v>43.5899155999068</v>
      </c>
      <c r="AB50" s="1" t="s">
        <v>48</v>
      </c>
      <c r="AC50" s="1">
        <v>0.282886900007724</v>
      </c>
      <c r="AD50" s="1" t="s">
        <v>43</v>
      </c>
      <c r="AI50" s="1">
        <v>1.0</v>
      </c>
      <c r="AJ50" s="1">
        <v>1.0</v>
      </c>
      <c r="AK50" s="1" t="s">
        <v>44</v>
      </c>
      <c r="AL50" s="1" t="s">
        <v>45</v>
      </c>
      <c r="AN50" s="1" t="s">
        <v>46</v>
      </c>
      <c r="AO50" s="1">
        <v>59.8772277453874</v>
      </c>
      <c r="AP50" s="1" t="s">
        <v>47</v>
      </c>
    </row>
    <row r="51">
      <c r="A51" s="1">
        <v>48.0</v>
      </c>
      <c r="B51" s="1">
        <v>0.0</v>
      </c>
      <c r="C51" s="1">
        <v>48.0</v>
      </c>
      <c r="D51" s="1" t="s">
        <v>48</v>
      </c>
      <c r="E51" s="1">
        <v>0.31673500011675</v>
      </c>
      <c r="F51" s="1">
        <f t="shared" si="1"/>
        <v>316.7350001</v>
      </c>
      <c r="G51" s="1" t="s">
        <v>43</v>
      </c>
      <c r="H51" s="1">
        <v>48.0</v>
      </c>
      <c r="I51" s="1">
        <v>0.0</v>
      </c>
      <c r="J51" s="1">
        <v>48.0</v>
      </c>
      <c r="K51" s="1">
        <v>0.0</v>
      </c>
      <c r="L51" s="1">
        <v>43.6062367998529</v>
      </c>
      <c r="V51" s="1">
        <v>43.5902441998478</v>
      </c>
      <c r="W51" s="1">
        <v>43.6062367998529</v>
      </c>
      <c r="X51" s="1">
        <v>44.0892949998378</v>
      </c>
      <c r="Y51" s="1">
        <v>44.0892949998378</v>
      </c>
      <c r="Z51" s="1">
        <v>44.0892949998378</v>
      </c>
      <c r="AA51" s="1">
        <v>44.4067996998783</v>
      </c>
      <c r="AB51" s="1" t="s">
        <v>48</v>
      </c>
      <c r="AC51" s="1">
        <v>0.31673500011675</v>
      </c>
      <c r="AD51" s="1" t="s">
        <v>43</v>
      </c>
      <c r="AI51" s="1">
        <v>1.0</v>
      </c>
      <c r="AJ51" s="1">
        <v>1.0</v>
      </c>
      <c r="AK51" s="1" t="s">
        <v>44</v>
      </c>
      <c r="AL51" s="1" t="s">
        <v>45</v>
      </c>
      <c r="AN51" s="1" t="s">
        <v>46</v>
      </c>
      <c r="AO51" s="1">
        <v>59.8772277453874</v>
      </c>
      <c r="AP51" s="1" t="s">
        <v>47</v>
      </c>
    </row>
    <row r="52">
      <c r="A52" s="1">
        <v>49.0</v>
      </c>
      <c r="B52" s="1">
        <v>0.0</v>
      </c>
      <c r="C52" s="1">
        <v>49.0</v>
      </c>
      <c r="D52" s="1" t="s">
        <v>48</v>
      </c>
      <c r="E52" s="1">
        <v>0.249429499963298</v>
      </c>
      <c r="F52" s="1">
        <f t="shared" si="1"/>
        <v>249.4295</v>
      </c>
      <c r="G52" s="1" t="s">
        <v>43</v>
      </c>
      <c r="H52" s="1">
        <v>49.0</v>
      </c>
      <c r="I52" s="1">
        <v>0.0</v>
      </c>
      <c r="J52" s="1">
        <v>49.0</v>
      </c>
      <c r="K52" s="1">
        <v>0.0</v>
      </c>
      <c r="L52" s="1">
        <v>44.4236995000392</v>
      </c>
      <c r="V52" s="1">
        <v>44.4070337999146</v>
      </c>
      <c r="W52" s="1">
        <v>44.4236995000392</v>
      </c>
      <c r="X52" s="1">
        <v>44.9061020000372</v>
      </c>
      <c r="Y52" s="1">
        <v>44.9061020000372</v>
      </c>
      <c r="Z52" s="1">
        <v>44.9061020000372</v>
      </c>
      <c r="AA52" s="1">
        <v>45.1575209998991</v>
      </c>
      <c r="AB52" s="1" t="s">
        <v>48</v>
      </c>
      <c r="AC52" s="1">
        <v>0.249429499963298</v>
      </c>
      <c r="AD52" s="1" t="s">
        <v>43</v>
      </c>
      <c r="AI52" s="1">
        <v>1.0</v>
      </c>
      <c r="AJ52" s="1">
        <v>1.0</v>
      </c>
      <c r="AK52" s="1" t="s">
        <v>44</v>
      </c>
      <c r="AL52" s="1" t="s">
        <v>45</v>
      </c>
      <c r="AN52" s="1" t="s">
        <v>46</v>
      </c>
      <c r="AO52" s="1">
        <v>59.8772277453874</v>
      </c>
      <c r="AP52" s="1" t="s">
        <v>47</v>
      </c>
    </row>
    <row r="53">
      <c r="AE53" s="1">
        <v>45.1577516999095</v>
      </c>
      <c r="AF53" s="1">
        <v>45.172734899912</v>
      </c>
      <c r="AG53" s="1">
        <v>47.1726066998671</v>
      </c>
      <c r="AH53" s="1">
        <v>47.1564635999966</v>
      </c>
      <c r="AI53" s="1">
        <v>1.0</v>
      </c>
      <c r="AJ53" s="1">
        <v>1.0</v>
      </c>
      <c r="AK53" s="1" t="s">
        <v>44</v>
      </c>
      <c r="AL53" s="1" t="s">
        <v>45</v>
      </c>
      <c r="AN53" s="1" t="s">
        <v>46</v>
      </c>
      <c r="AO53" s="1">
        <v>59.8772277453874</v>
      </c>
      <c r="AP53" s="1" t="s">
        <v>47</v>
      </c>
    </row>
    <row r="58">
      <c r="D58" s="1"/>
      <c r="E58" s="5"/>
      <c r="F58" s="5"/>
    </row>
    <row r="59">
      <c r="D59" s="1"/>
      <c r="E59" s="5"/>
      <c r="F59" s="5"/>
    </row>
    <row r="60">
      <c r="D60" s="1"/>
      <c r="E60" s="5"/>
      <c r="F60" s="5"/>
    </row>
    <row r="61">
      <c r="D61" s="1"/>
      <c r="E61" s="5"/>
      <c r="F61" s="5"/>
    </row>
    <row r="62">
      <c r="D62" s="1"/>
      <c r="E62" s="5"/>
      <c r="F62" s="5"/>
    </row>
    <row r="63">
      <c r="D63" s="1"/>
      <c r="E63" s="5"/>
      <c r="F63" s="5"/>
    </row>
    <row r="64">
      <c r="D64" s="1"/>
      <c r="E64" s="5"/>
      <c r="F64" s="5"/>
    </row>
    <row r="65">
      <c r="D65" s="1"/>
      <c r="E65" s="5"/>
      <c r="F65" s="5"/>
    </row>
    <row r="66">
      <c r="D66" s="1"/>
      <c r="E66" s="5"/>
      <c r="F66" s="5"/>
    </row>
    <row r="67">
      <c r="D67" s="1"/>
      <c r="E67" s="5"/>
      <c r="F67" s="5"/>
    </row>
    <row r="68">
      <c r="D68" s="1"/>
      <c r="E68" s="5"/>
      <c r="F68" s="5"/>
    </row>
    <row r="69">
      <c r="D69" s="1"/>
      <c r="E69" s="5"/>
      <c r="F69" s="5"/>
    </row>
    <row r="70">
      <c r="D70" s="1"/>
      <c r="E70" s="5"/>
      <c r="F70" s="5"/>
    </row>
    <row r="71">
      <c r="D71" s="1"/>
      <c r="E71" s="5"/>
      <c r="F71" s="5"/>
    </row>
    <row r="72">
      <c r="D72" s="1"/>
      <c r="E72" s="5"/>
      <c r="F72" s="5"/>
    </row>
    <row r="73">
      <c r="D73" s="1"/>
      <c r="E73" s="5"/>
      <c r="F73" s="5"/>
    </row>
    <row r="74">
      <c r="D74" s="1"/>
      <c r="E74" s="5"/>
      <c r="F74" s="5"/>
    </row>
    <row r="75">
      <c r="D75" s="1"/>
      <c r="E75" s="5"/>
      <c r="F75" s="5"/>
    </row>
    <row r="76">
      <c r="D76" s="1"/>
      <c r="E76" s="5"/>
      <c r="F76" s="5"/>
    </row>
    <row r="77">
      <c r="D77" s="1"/>
      <c r="E77" s="5"/>
      <c r="F77" s="5"/>
    </row>
    <row r="78">
      <c r="D78" s="1"/>
      <c r="E78" s="5"/>
      <c r="F78" s="5"/>
    </row>
    <row r="79">
      <c r="D79" s="1"/>
      <c r="E79" s="5"/>
      <c r="F79" s="5"/>
    </row>
    <row r="80">
      <c r="D80" s="1"/>
      <c r="E80" s="5"/>
      <c r="F80" s="5"/>
    </row>
    <row r="81">
      <c r="D81" s="1"/>
      <c r="E81" s="5"/>
      <c r="F81" s="5"/>
    </row>
    <row r="82">
      <c r="D82" s="1"/>
      <c r="E82" s="5"/>
      <c r="F82" s="5"/>
    </row>
    <row r="83">
      <c r="D83" s="1"/>
      <c r="E83" s="5"/>
      <c r="F83" s="5"/>
    </row>
    <row r="84">
      <c r="D84" s="1"/>
      <c r="E84" s="5"/>
      <c r="F84" s="5"/>
    </row>
    <row r="85">
      <c r="D85" s="1"/>
      <c r="E85" s="5"/>
      <c r="F85" s="5"/>
    </row>
    <row r="86">
      <c r="D86" s="1"/>
      <c r="E86" s="5"/>
      <c r="F86" s="5"/>
    </row>
    <row r="87">
      <c r="D87" s="1"/>
      <c r="E87" s="5"/>
      <c r="F87" s="5"/>
    </row>
    <row r="88">
      <c r="D88" s="1"/>
      <c r="E88" s="5"/>
      <c r="F88" s="5"/>
    </row>
    <row r="89">
      <c r="D89" s="1"/>
      <c r="E89" s="5"/>
      <c r="F89" s="5"/>
    </row>
    <row r="90">
      <c r="D90" s="1"/>
      <c r="E90" s="5"/>
      <c r="F90" s="5"/>
    </row>
    <row r="91">
      <c r="D91" s="1"/>
      <c r="E91" s="5"/>
      <c r="F91" s="5"/>
    </row>
    <row r="92">
      <c r="D92" s="1"/>
      <c r="E92" s="5"/>
      <c r="F92" s="5"/>
    </row>
    <row r="93">
      <c r="D93" s="1"/>
      <c r="E93" s="5"/>
      <c r="F93" s="5"/>
    </row>
    <row r="94">
      <c r="D94" s="1"/>
      <c r="E94" s="5"/>
      <c r="F94" s="5"/>
    </row>
    <row r="95">
      <c r="D95" s="1"/>
      <c r="E95" s="5"/>
      <c r="F95" s="5"/>
    </row>
    <row r="96">
      <c r="D96" s="1"/>
      <c r="E96" s="5"/>
      <c r="F96" s="5"/>
    </row>
    <row r="97">
      <c r="D97" s="1"/>
      <c r="E97" s="5"/>
      <c r="F97" s="5"/>
    </row>
    <row r="98">
      <c r="D98" s="1"/>
      <c r="E98" s="5"/>
      <c r="F98" s="5"/>
    </row>
    <row r="99">
      <c r="D99" s="1"/>
      <c r="E99" s="5"/>
      <c r="F99" s="5"/>
    </row>
    <row r="100">
      <c r="D100" s="1"/>
      <c r="E100" s="5"/>
      <c r="F100" s="5"/>
    </row>
    <row r="101">
      <c r="D101" s="1"/>
      <c r="E101" s="5"/>
      <c r="F101" s="5"/>
    </row>
    <row r="102">
      <c r="D102" s="1"/>
      <c r="E102" s="5"/>
      <c r="F102" s="5"/>
    </row>
    <row r="103">
      <c r="D103" s="1"/>
      <c r="E103" s="5"/>
      <c r="F103" s="5"/>
    </row>
    <row r="104">
      <c r="D104" s="1"/>
      <c r="E104" s="5"/>
      <c r="F104" s="5"/>
    </row>
    <row r="105">
      <c r="D105" s="1"/>
      <c r="E105" s="5"/>
      <c r="F105" s="5"/>
    </row>
    <row r="106">
      <c r="D106" s="1"/>
      <c r="E106" s="5"/>
      <c r="F106" s="5"/>
    </row>
    <row r="107">
      <c r="D107" s="1"/>
      <c r="E107" s="5"/>
      <c r="F107" s="5"/>
    </row>
    <row r="108">
      <c r="D108" s="1"/>
      <c r="E108" s="5"/>
      <c r="F108" s="5"/>
    </row>
    <row r="109">
      <c r="D109" s="1"/>
      <c r="E109" s="5"/>
      <c r="F109" s="5"/>
    </row>
    <row r="110">
      <c r="D110" s="1"/>
      <c r="E110" s="5"/>
      <c r="F110" s="5"/>
    </row>
    <row r="111">
      <c r="D111" s="1"/>
      <c r="E111" s="5"/>
      <c r="F111" s="5"/>
    </row>
    <row r="112">
      <c r="D112" s="1"/>
      <c r="E112" s="5"/>
      <c r="F112" s="5"/>
    </row>
    <row r="113">
      <c r="D113" s="1"/>
      <c r="E113" s="5"/>
      <c r="F113" s="5"/>
    </row>
    <row r="114">
      <c r="D114" s="1"/>
      <c r="E114" s="5"/>
      <c r="F114" s="5"/>
    </row>
    <row r="115">
      <c r="D115" s="1"/>
      <c r="E115" s="5"/>
      <c r="F115" s="5"/>
    </row>
    <row r="116">
      <c r="D116" s="1"/>
      <c r="E116" s="5"/>
      <c r="F116" s="5"/>
    </row>
    <row r="117">
      <c r="D117" s="1"/>
      <c r="E117" s="5"/>
      <c r="F117" s="5"/>
    </row>
    <row r="118">
      <c r="D118" s="1"/>
      <c r="E118" s="5"/>
      <c r="F118" s="5"/>
    </row>
    <row r="119">
      <c r="D119" s="1"/>
      <c r="E119" s="5"/>
      <c r="F119" s="5"/>
    </row>
    <row r="120">
      <c r="D120" s="1"/>
      <c r="E120" s="5"/>
      <c r="F120" s="5"/>
    </row>
    <row r="121">
      <c r="D121" s="1"/>
      <c r="E121" s="5"/>
      <c r="F121" s="5"/>
    </row>
    <row r="122">
      <c r="D122" s="1"/>
      <c r="E122" s="5"/>
      <c r="F122" s="5"/>
    </row>
    <row r="123">
      <c r="D123" s="1"/>
      <c r="E123" s="5"/>
      <c r="F123" s="5"/>
    </row>
    <row r="124">
      <c r="D124" s="1"/>
      <c r="E124" s="5"/>
      <c r="F124" s="5"/>
    </row>
    <row r="125">
      <c r="D125" s="1"/>
      <c r="E125" s="5"/>
      <c r="F125" s="5"/>
    </row>
    <row r="126">
      <c r="D126" s="1"/>
      <c r="E126" s="5"/>
      <c r="F126" s="5"/>
    </row>
    <row r="127">
      <c r="D127" s="1"/>
      <c r="E127" s="5"/>
      <c r="F127" s="5"/>
    </row>
    <row r="128">
      <c r="D128" s="1"/>
      <c r="E128" s="5"/>
      <c r="F128" s="5"/>
    </row>
    <row r="129">
      <c r="D129" s="1"/>
      <c r="E129" s="5"/>
      <c r="F129" s="5"/>
    </row>
    <row r="130">
      <c r="D130" s="1"/>
      <c r="E130" s="5"/>
      <c r="F130" s="5"/>
    </row>
    <row r="131">
      <c r="D131" s="1"/>
      <c r="E131" s="5"/>
      <c r="F131" s="5"/>
    </row>
    <row r="132">
      <c r="D132" s="1"/>
      <c r="E132" s="5"/>
      <c r="F132" s="5"/>
    </row>
    <row r="133">
      <c r="D133" s="1"/>
      <c r="E133" s="5"/>
      <c r="F133" s="5"/>
    </row>
    <row r="134">
      <c r="D134" s="1"/>
      <c r="E134" s="5"/>
      <c r="F134" s="5"/>
    </row>
    <row r="135">
      <c r="D135" s="1"/>
      <c r="E135" s="5"/>
      <c r="F135" s="5"/>
    </row>
    <row r="136">
      <c r="D136" s="1"/>
      <c r="E136" s="5"/>
      <c r="F136" s="5"/>
    </row>
    <row r="137">
      <c r="D137" s="1"/>
      <c r="E137" s="5"/>
      <c r="F137" s="5"/>
    </row>
    <row r="138">
      <c r="D138" s="1"/>
      <c r="E138" s="5"/>
      <c r="F138" s="5"/>
    </row>
    <row r="139">
      <c r="D139" s="1"/>
      <c r="E139" s="5"/>
      <c r="F139" s="5"/>
    </row>
    <row r="140">
      <c r="D140" s="1"/>
      <c r="E140" s="5"/>
      <c r="F140" s="5"/>
    </row>
    <row r="141">
      <c r="D141" s="1"/>
      <c r="E141" s="5"/>
      <c r="F141" s="5"/>
    </row>
    <row r="142">
      <c r="D142" s="1"/>
      <c r="E142" s="5"/>
      <c r="F142" s="5"/>
    </row>
    <row r="143">
      <c r="D143" s="1"/>
      <c r="E143" s="5"/>
      <c r="F143" s="5"/>
    </row>
    <row r="144">
      <c r="D144" s="1"/>
      <c r="E144" s="5"/>
      <c r="F144" s="5"/>
    </row>
    <row r="145">
      <c r="D145" s="1"/>
      <c r="E145" s="5"/>
      <c r="F145" s="5"/>
    </row>
    <row r="146">
      <c r="D146" s="1"/>
      <c r="E146" s="5"/>
      <c r="F146" s="5"/>
    </row>
    <row r="147">
      <c r="D147" s="1"/>
      <c r="E147" s="5"/>
      <c r="F147" s="5"/>
    </row>
    <row r="148">
      <c r="D148" s="1"/>
      <c r="E148" s="5"/>
      <c r="F148" s="5"/>
    </row>
    <row r="149">
      <c r="D149" s="1"/>
      <c r="E149" s="5"/>
      <c r="F149" s="5"/>
    </row>
    <row r="150">
      <c r="D150" s="1"/>
      <c r="E150" s="5"/>
      <c r="F150" s="5"/>
    </row>
    <row r="151">
      <c r="D151" s="1"/>
      <c r="E151" s="5"/>
      <c r="F151" s="5"/>
    </row>
    <row r="152">
      <c r="D152" s="1"/>
      <c r="E152" s="5"/>
      <c r="F152" s="5"/>
    </row>
    <row r="153">
      <c r="D153" s="1"/>
      <c r="E153" s="5"/>
      <c r="F153" s="5"/>
    </row>
    <row r="154">
      <c r="D154" s="1"/>
      <c r="E154" s="5"/>
      <c r="F154" s="5"/>
    </row>
    <row r="155">
      <c r="D155" s="1"/>
      <c r="E155" s="5"/>
      <c r="F155" s="5"/>
    </row>
    <row r="156">
      <c r="D156" s="1"/>
      <c r="E156" s="5"/>
      <c r="F156" s="5"/>
    </row>
    <row r="157">
      <c r="D157" s="1"/>
      <c r="E157" s="5"/>
      <c r="F157" s="5"/>
    </row>
    <row r="158">
      <c r="D158" s="1"/>
      <c r="E158" s="5"/>
      <c r="F158" s="5"/>
    </row>
    <row r="159">
      <c r="D159" s="1"/>
      <c r="E159" s="5"/>
      <c r="F159" s="5"/>
    </row>
    <row r="160">
      <c r="D160" s="1"/>
      <c r="E160" s="5"/>
      <c r="F160" s="5"/>
    </row>
    <row r="161">
      <c r="D161" s="1"/>
      <c r="E161" s="5"/>
      <c r="F161" s="5"/>
    </row>
    <row r="162">
      <c r="D162" s="1"/>
      <c r="E162" s="5"/>
      <c r="F162" s="5"/>
    </row>
    <row r="163">
      <c r="D163" s="1"/>
      <c r="E163" s="5"/>
      <c r="F163" s="5"/>
    </row>
    <row r="164">
      <c r="D164" s="1"/>
      <c r="E164" s="5"/>
      <c r="F164" s="5"/>
    </row>
    <row r="165">
      <c r="D165" s="1"/>
      <c r="E165" s="5"/>
      <c r="F165" s="5"/>
    </row>
    <row r="166">
      <c r="D166" s="1"/>
      <c r="E166" s="5"/>
      <c r="F166" s="5"/>
    </row>
    <row r="167">
      <c r="D167" s="1"/>
      <c r="E167" s="5"/>
      <c r="F167" s="5"/>
    </row>
    <row r="168">
      <c r="D168" s="1"/>
      <c r="E168" s="5"/>
      <c r="F168" s="5"/>
    </row>
    <row r="169">
      <c r="D169" s="1"/>
      <c r="E169" s="5"/>
      <c r="F169" s="5"/>
    </row>
    <row r="170">
      <c r="D170" s="1"/>
      <c r="E170" s="5"/>
      <c r="F170" s="5"/>
    </row>
    <row r="171">
      <c r="D171" s="1"/>
      <c r="E171" s="5"/>
      <c r="F171" s="5"/>
    </row>
    <row r="172">
      <c r="D172" s="1"/>
      <c r="E172" s="5"/>
      <c r="F172" s="5"/>
    </row>
    <row r="173">
      <c r="D173" s="1"/>
      <c r="E173" s="5"/>
      <c r="F173" s="5"/>
    </row>
    <row r="174">
      <c r="D174" s="1"/>
      <c r="E174" s="5"/>
      <c r="F174" s="5"/>
    </row>
    <row r="175">
      <c r="D175" s="1"/>
      <c r="E175" s="5"/>
      <c r="F175" s="5"/>
    </row>
    <row r="176">
      <c r="D176" s="1"/>
      <c r="E176" s="5"/>
      <c r="F176" s="5"/>
    </row>
    <row r="177">
      <c r="D177" s="1"/>
      <c r="E177" s="5"/>
      <c r="F177" s="5"/>
    </row>
    <row r="178">
      <c r="D178" s="1"/>
      <c r="E178" s="5"/>
      <c r="F178" s="5"/>
    </row>
    <row r="179">
      <c r="D179" s="1"/>
      <c r="E179" s="5"/>
      <c r="F179" s="5"/>
    </row>
    <row r="180">
      <c r="D180" s="1"/>
      <c r="E180" s="5"/>
      <c r="F180" s="5"/>
    </row>
    <row r="181">
      <c r="D181" s="1"/>
      <c r="E181" s="5"/>
      <c r="F181" s="5"/>
    </row>
    <row r="182">
      <c r="D182" s="1"/>
      <c r="E182" s="5"/>
      <c r="F182" s="5"/>
    </row>
    <row r="183">
      <c r="D183" s="1"/>
      <c r="E183" s="5"/>
      <c r="F183" s="5"/>
    </row>
    <row r="184">
      <c r="D184" s="1"/>
      <c r="E184" s="5"/>
      <c r="F184" s="5"/>
    </row>
    <row r="185">
      <c r="D185" s="1"/>
      <c r="E185" s="5"/>
      <c r="F185" s="5"/>
    </row>
    <row r="186">
      <c r="D186" s="1"/>
      <c r="E186" s="5"/>
      <c r="F186" s="5"/>
    </row>
    <row r="187">
      <c r="D187" s="1"/>
      <c r="E187" s="5"/>
      <c r="F187" s="5"/>
    </row>
    <row r="188">
      <c r="D188" s="1"/>
      <c r="E188" s="5"/>
      <c r="F188" s="5"/>
    </row>
    <row r="189">
      <c r="D189" s="1"/>
      <c r="E189" s="5"/>
      <c r="F189" s="5"/>
    </row>
    <row r="190">
      <c r="D190" s="1"/>
      <c r="E190" s="5"/>
      <c r="F190" s="5"/>
    </row>
    <row r="191">
      <c r="D191" s="1"/>
      <c r="E191" s="5"/>
      <c r="F191" s="5"/>
    </row>
    <row r="192">
      <c r="D192" s="1"/>
      <c r="E192" s="5"/>
      <c r="F192" s="5"/>
    </row>
    <row r="193">
      <c r="D193" s="1"/>
      <c r="E193" s="5"/>
      <c r="F193" s="5"/>
    </row>
    <row r="194">
      <c r="D194" s="1"/>
      <c r="E194" s="5"/>
      <c r="F194" s="5"/>
    </row>
    <row r="195">
      <c r="D195" s="1"/>
      <c r="E195" s="5"/>
      <c r="F195" s="5"/>
    </row>
    <row r="196">
      <c r="D196" s="1"/>
      <c r="E196" s="5"/>
      <c r="F196" s="5"/>
    </row>
    <row r="197">
      <c r="D197" s="1"/>
      <c r="E197" s="5"/>
      <c r="F197" s="5"/>
    </row>
    <row r="198">
      <c r="D198" s="1"/>
      <c r="E198" s="5"/>
      <c r="F198" s="5"/>
    </row>
    <row r="199">
      <c r="D199" s="1"/>
      <c r="E199" s="5"/>
      <c r="F199" s="5"/>
    </row>
    <row r="200">
      <c r="D200" s="1"/>
      <c r="E200" s="5"/>
      <c r="F200" s="5"/>
    </row>
    <row r="201">
      <c r="D201" s="1"/>
      <c r="E201" s="5"/>
      <c r="F201" s="5"/>
    </row>
    <row r="202">
      <c r="D202" s="1"/>
      <c r="E202" s="5"/>
      <c r="F202" s="5"/>
    </row>
    <row r="203">
      <c r="D203" s="1"/>
      <c r="E203" s="5"/>
      <c r="F203" s="5"/>
    </row>
    <row r="204">
      <c r="D204" s="1"/>
      <c r="E204" s="5"/>
      <c r="F204" s="5"/>
    </row>
    <row r="205">
      <c r="D205" s="1"/>
      <c r="E205" s="5"/>
      <c r="F205" s="5"/>
    </row>
    <row r="206">
      <c r="D206" s="1"/>
      <c r="E206" s="5"/>
      <c r="F206" s="5"/>
    </row>
    <row r="207">
      <c r="D207" s="1"/>
      <c r="E207" s="5"/>
      <c r="F207" s="5"/>
    </row>
    <row r="208">
      <c r="D208" s="1"/>
      <c r="E208" s="5"/>
      <c r="F208" s="5"/>
    </row>
    <row r="209">
      <c r="D209" s="1"/>
      <c r="E209" s="5"/>
      <c r="F209" s="5"/>
    </row>
    <row r="210">
      <c r="D210" s="1"/>
      <c r="E210" s="5"/>
      <c r="F210" s="5"/>
    </row>
    <row r="211">
      <c r="D211" s="1"/>
      <c r="E211" s="5"/>
      <c r="F211" s="5"/>
    </row>
    <row r="212">
      <c r="D212" s="1"/>
      <c r="E212" s="5"/>
      <c r="F212" s="5"/>
    </row>
    <row r="213">
      <c r="D213" s="1"/>
      <c r="E213" s="5"/>
      <c r="F213" s="5"/>
    </row>
    <row r="214">
      <c r="D214" s="1"/>
      <c r="E214" s="5"/>
      <c r="F214" s="5"/>
    </row>
    <row r="215">
      <c r="D215" s="1"/>
      <c r="E215" s="5"/>
      <c r="F215" s="5"/>
    </row>
    <row r="216">
      <c r="D216" s="1"/>
      <c r="E216" s="5"/>
      <c r="F216" s="5"/>
    </row>
    <row r="217">
      <c r="D217" s="1"/>
      <c r="E217" s="5"/>
      <c r="F217" s="5"/>
    </row>
    <row r="218">
      <c r="D218" s="1"/>
      <c r="E218" s="5"/>
      <c r="F218" s="5"/>
    </row>
    <row r="219">
      <c r="D219" s="1"/>
      <c r="E219" s="5"/>
      <c r="F219" s="5"/>
    </row>
    <row r="220">
      <c r="D220" s="1"/>
      <c r="E220" s="5"/>
      <c r="F220" s="5"/>
    </row>
    <row r="221">
      <c r="D221" s="1"/>
      <c r="E221" s="5"/>
      <c r="F221" s="5"/>
    </row>
    <row r="222">
      <c r="D222" s="1"/>
      <c r="E222" s="5"/>
      <c r="F222" s="5"/>
    </row>
    <row r="223">
      <c r="D223" s="1"/>
      <c r="E223" s="5"/>
      <c r="F223" s="5"/>
    </row>
    <row r="224">
      <c r="D224" s="1"/>
      <c r="E224" s="5"/>
      <c r="F224" s="5"/>
    </row>
    <row r="225">
      <c r="D225" s="1"/>
      <c r="E225" s="5"/>
      <c r="F225" s="5"/>
    </row>
    <row r="226">
      <c r="D226" s="1"/>
      <c r="E226" s="5"/>
      <c r="F226" s="5"/>
    </row>
    <row r="227">
      <c r="D227" s="1"/>
      <c r="E227" s="5"/>
      <c r="F227" s="5"/>
    </row>
    <row r="228">
      <c r="D228" s="1"/>
      <c r="E228" s="5"/>
      <c r="F228" s="5"/>
    </row>
    <row r="229">
      <c r="D229" s="1"/>
      <c r="E229" s="5"/>
      <c r="F229" s="5"/>
    </row>
    <row r="230">
      <c r="D230" s="1"/>
      <c r="E230" s="5"/>
      <c r="F230" s="5"/>
    </row>
    <row r="231">
      <c r="D231" s="1"/>
      <c r="E231" s="5"/>
      <c r="F231" s="5"/>
    </row>
    <row r="232">
      <c r="D232" s="1"/>
      <c r="E232" s="5"/>
      <c r="F232" s="5"/>
    </row>
    <row r="233">
      <c r="D233" s="1"/>
      <c r="E233" s="5"/>
      <c r="F233" s="5"/>
    </row>
    <row r="234">
      <c r="D234" s="1"/>
      <c r="E234" s="5"/>
      <c r="F234" s="5"/>
    </row>
    <row r="235">
      <c r="D235" s="1"/>
      <c r="E235" s="5"/>
      <c r="F235" s="5"/>
    </row>
    <row r="236">
      <c r="D236" s="1"/>
      <c r="E236" s="5"/>
      <c r="F236" s="5"/>
    </row>
    <row r="237">
      <c r="D237" s="1"/>
      <c r="E237" s="5"/>
      <c r="F237" s="5"/>
    </row>
    <row r="238">
      <c r="D238" s="1"/>
      <c r="E238" s="5"/>
      <c r="F238" s="5"/>
    </row>
    <row r="239">
      <c r="D239" s="1"/>
      <c r="E239" s="5"/>
      <c r="F239" s="5"/>
    </row>
    <row r="240">
      <c r="D240" s="1"/>
      <c r="E240" s="5"/>
      <c r="F240" s="5"/>
    </row>
    <row r="241">
      <c r="D241" s="1"/>
      <c r="E241" s="5"/>
      <c r="F241" s="5"/>
    </row>
    <row r="242">
      <c r="D242" s="1"/>
      <c r="E242" s="5"/>
      <c r="F242" s="5"/>
    </row>
    <row r="243">
      <c r="D243" s="1"/>
      <c r="E243" s="5"/>
      <c r="F243" s="5"/>
    </row>
    <row r="244">
      <c r="D244" s="1"/>
      <c r="E244" s="5"/>
      <c r="F244" s="5"/>
    </row>
    <row r="245">
      <c r="D245" s="1"/>
      <c r="E245" s="5"/>
      <c r="F245" s="5"/>
    </row>
    <row r="246">
      <c r="D246" s="1"/>
      <c r="E246" s="5"/>
      <c r="F246" s="5"/>
    </row>
    <row r="247">
      <c r="D247" s="1"/>
      <c r="E247" s="5"/>
      <c r="F247" s="5"/>
    </row>
    <row r="248">
      <c r="D248" s="1"/>
      <c r="E248" s="5"/>
      <c r="F248" s="5"/>
    </row>
    <row r="249">
      <c r="D249" s="1"/>
      <c r="E249" s="5"/>
      <c r="F249" s="5"/>
    </row>
    <row r="250">
      <c r="D250" s="1"/>
      <c r="E250" s="5"/>
      <c r="F250" s="5"/>
    </row>
    <row r="251">
      <c r="D251" s="1"/>
      <c r="E251" s="5"/>
      <c r="F251" s="5"/>
    </row>
    <row r="252">
      <c r="D252" s="1"/>
      <c r="E252" s="5"/>
      <c r="F252" s="5"/>
    </row>
    <row r="253">
      <c r="D253" s="1"/>
      <c r="E253" s="5"/>
      <c r="F253" s="5"/>
    </row>
    <row r="254">
      <c r="D254" s="1"/>
      <c r="E254" s="5"/>
      <c r="F254" s="5"/>
    </row>
    <row r="255">
      <c r="D255" s="1"/>
      <c r="E255" s="5"/>
      <c r="F255" s="5"/>
    </row>
    <row r="256">
      <c r="D256" s="1"/>
      <c r="E256" s="5"/>
      <c r="F256" s="5"/>
    </row>
    <row r="257">
      <c r="D257" s="1"/>
      <c r="E257" s="5"/>
      <c r="F257" s="5"/>
    </row>
    <row r="258">
      <c r="D258" s="1"/>
      <c r="E258" s="5"/>
      <c r="F258" s="5"/>
    </row>
    <row r="259">
      <c r="D259" s="1"/>
      <c r="E259" s="5"/>
      <c r="F259" s="5"/>
    </row>
    <row r="260">
      <c r="D260" s="1"/>
      <c r="E260" s="5"/>
      <c r="F260" s="5"/>
    </row>
    <row r="261">
      <c r="D261" s="1"/>
      <c r="E261" s="5"/>
      <c r="F261" s="5"/>
    </row>
    <row r="262">
      <c r="D262" s="1"/>
      <c r="E262" s="5"/>
      <c r="F262" s="5"/>
    </row>
    <row r="263">
      <c r="D263" s="1"/>
      <c r="E263" s="5"/>
      <c r="F263" s="5"/>
    </row>
    <row r="264">
      <c r="D264" s="1"/>
      <c r="E264" s="5"/>
      <c r="F264" s="5"/>
    </row>
    <row r="265">
      <c r="D265" s="1"/>
      <c r="E265" s="5"/>
      <c r="F265" s="5"/>
    </row>
    <row r="266">
      <c r="D266" s="1"/>
      <c r="E266" s="5"/>
      <c r="F266" s="5"/>
    </row>
    <row r="267">
      <c r="D267" s="1"/>
      <c r="E267" s="5"/>
      <c r="F267" s="5"/>
    </row>
    <row r="268">
      <c r="D268" s="1"/>
      <c r="E268" s="5"/>
      <c r="F268" s="5"/>
    </row>
    <row r="269">
      <c r="D269" s="1"/>
      <c r="E269" s="5"/>
      <c r="F269" s="5"/>
    </row>
    <row r="270">
      <c r="D270" s="1"/>
      <c r="E270" s="5"/>
      <c r="F270" s="5"/>
    </row>
    <row r="271">
      <c r="D271" s="1"/>
      <c r="E271" s="5"/>
      <c r="F271" s="5"/>
    </row>
    <row r="272">
      <c r="D272" s="1"/>
      <c r="E272" s="5"/>
      <c r="F272" s="5"/>
    </row>
    <row r="273">
      <c r="D273" s="1"/>
      <c r="E273" s="5"/>
      <c r="F273" s="5"/>
    </row>
    <row r="274">
      <c r="D274" s="1"/>
      <c r="E274" s="5"/>
      <c r="F274" s="5"/>
    </row>
    <row r="275">
      <c r="D275" s="1"/>
      <c r="E275" s="5"/>
      <c r="F275" s="5"/>
    </row>
    <row r="276">
      <c r="D276" s="1"/>
      <c r="E276" s="5"/>
      <c r="F276" s="5"/>
    </row>
    <row r="277">
      <c r="D277" s="1"/>
      <c r="E277" s="5"/>
      <c r="F277" s="5"/>
    </row>
    <row r="278">
      <c r="D278" s="1"/>
      <c r="E278" s="5"/>
      <c r="F278" s="5"/>
    </row>
    <row r="279">
      <c r="D279" s="1"/>
      <c r="E279" s="5"/>
      <c r="F279" s="5"/>
    </row>
    <row r="280">
      <c r="D280" s="1"/>
      <c r="E280" s="5"/>
      <c r="F280" s="5"/>
    </row>
    <row r="281">
      <c r="D281" s="1"/>
      <c r="E281" s="5"/>
      <c r="F281" s="5"/>
    </row>
    <row r="282">
      <c r="D282" s="1"/>
      <c r="E282" s="5"/>
      <c r="F282" s="5"/>
    </row>
    <row r="283">
      <c r="D283" s="1"/>
      <c r="E283" s="5"/>
      <c r="F283" s="5"/>
    </row>
    <row r="284">
      <c r="D284" s="1"/>
      <c r="E284" s="5"/>
      <c r="F284" s="5"/>
    </row>
    <row r="285">
      <c r="D285" s="1"/>
      <c r="E285" s="5"/>
      <c r="F285" s="5"/>
    </row>
    <row r="286">
      <c r="D286" s="1"/>
      <c r="E286" s="5"/>
      <c r="F286" s="5"/>
    </row>
    <row r="287">
      <c r="D287" s="1"/>
      <c r="E287" s="5"/>
      <c r="F287" s="5"/>
    </row>
    <row r="288">
      <c r="D288" s="1"/>
      <c r="E288" s="5"/>
      <c r="F288" s="5"/>
    </row>
    <row r="289">
      <c r="D289" s="1"/>
      <c r="E289" s="5"/>
      <c r="F289" s="5"/>
    </row>
    <row r="290">
      <c r="D290" s="1"/>
      <c r="E290" s="5"/>
      <c r="F290" s="5"/>
    </row>
    <row r="291">
      <c r="D291" s="1"/>
      <c r="E291" s="5"/>
      <c r="F291" s="5"/>
    </row>
    <row r="292">
      <c r="D292" s="1"/>
      <c r="E292" s="5"/>
      <c r="F292" s="5"/>
    </row>
    <row r="293">
      <c r="D293" s="1"/>
      <c r="E293" s="5"/>
      <c r="F293" s="5"/>
    </row>
    <row r="294">
      <c r="D294" s="1"/>
      <c r="E294" s="5"/>
      <c r="F294" s="5"/>
    </row>
    <row r="295">
      <c r="D295" s="1"/>
      <c r="E295" s="5"/>
      <c r="F295" s="5"/>
    </row>
    <row r="296">
      <c r="D296" s="1"/>
      <c r="E296" s="5"/>
      <c r="F296" s="5"/>
    </row>
    <row r="297">
      <c r="D297" s="1"/>
      <c r="E297" s="5"/>
      <c r="F297" s="5"/>
    </row>
    <row r="298">
      <c r="D298" s="1"/>
      <c r="E298" s="5"/>
      <c r="F298" s="5"/>
    </row>
    <row r="299">
      <c r="D299" s="1"/>
      <c r="E299" s="5"/>
      <c r="F299" s="5"/>
    </row>
    <row r="300">
      <c r="D300" s="1"/>
      <c r="E300" s="5"/>
      <c r="F300" s="5"/>
    </row>
    <row r="301">
      <c r="D301" s="1"/>
      <c r="E301" s="5"/>
      <c r="F301" s="5"/>
    </row>
    <row r="302">
      <c r="D302" s="1"/>
      <c r="E302" s="5"/>
      <c r="F302" s="5"/>
    </row>
    <row r="303">
      <c r="D303" s="1"/>
      <c r="E303" s="5"/>
      <c r="F303" s="5"/>
    </row>
    <row r="304">
      <c r="D304" s="1"/>
      <c r="E304" s="5"/>
      <c r="F304" s="5"/>
    </row>
    <row r="305">
      <c r="D305" s="1"/>
      <c r="E305" s="5"/>
      <c r="F305" s="5"/>
    </row>
    <row r="306">
      <c r="D306" s="1"/>
      <c r="E306" s="5"/>
      <c r="F306" s="5"/>
    </row>
    <row r="307">
      <c r="D307" s="1"/>
      <c r="E307" s="5"/>
      <c r="F307" s="5"/>
    </row>
    <row r="308">
      <c r="D308" s="1"/>
      <c r="E308" s="5"/>
      <c r="F308" s="5"/>
    </row>
    <row r="309">
      <c r="D309" s="1"/>
      <c r="E309" s="5"/>
      <c r="F309" s="5"/>
    </row>
    <row r="310">
      <c r="D310" s="1"/>
      <c r="E310" s="5"/>
      <c r="F310" s="5"/>
    </row>
    <row r="311">
      <c r="D311" s="1"/>
      <c r="E311" s="5"/>
      <c r="F311" s="5"/>
    </row>
    <row r="312">
      <c r="D312" s="1"/>
      <c r="E312" s="5"/>
      <c r="F312" s="5"/>
    </row>
    <row r="313">
      <c r="D313" s="1"/>
      <c r="E313" s="5"/>
      <c r="F313" s="5"/>
    </row>
    <row r="314">
      <c r="D314" s="1"/>
      <c r="E314" s="5"/>
      <c r="F314" s="5"/>
    </row>
    <row r="315">
      <c r="D315" s="1"/>
      <c r="E315" s="5"/>
      <c r="F315" s="5"/>
    </row>
    <row r="316">
      <c r="D316" s="1"/>
      <c r="E316" s="5"/>
      <c r="F316" s="5"/>
    </row>
    <row r="317">
      <c r="D317" s="1"/>
      <c r="E317" s="5"/>
      <c r="F317" s="5"/>
    </row>
    <row r="318">
      <c r="D318" s="1"/>
      <c r="E318" s="5"/>
      <c r="F318" s="5"/>
    </row>
    <row r="319">
      <c r="D319" s="1"/>
      <c r="E319" s="5"/>
      <c r="F319" s="5"/>
    </row>
    <row r="320">
      <c r="D320" s="1"/>
      <c r="E320" s="5"/>
      <c r="F320" s="5"/>
    </row>
    <row r="321">
      <c r="D321" s="1"/>
      <c r="E321" s="5"/>
      <c r="F321" s="5"/>
    </row>
    <row r="322">
      <c r="D322" s="1"/>
      <c r="E322" s="5"/>
      <c r="F322" s="5"/>
    </row>
    <row r="323">
      <c r="D323" s="1"/>
      <c r="E323" s="5"/>
      <c r="F323" s="5"/>
    </row>
    <row r="324">
      <c r="D324" s="1"/>
      <c r="E324" s="5"/>
      <c r="F324" s="5"/>
    </row>
    <row r="325">
      <c r="D325" s="1"/>
      <c r="E325" s="5"/>
      <c r="F325" s="5"/>
    </row>
    <row r="326">
      <c r="D326" s="1"/>
      <c r="E326" s="5"/>
      <c r="F326" s="5"/>
    </row>
    <row r="327">
      <c r="D327" s="1"/>
      <c r="E327" s="5"/>
      <c r="F327" s="5"/>
    </row>
    <row r="328">
      <c r="D328" s="1"/>
      <c r="E328" s="5"/>
      <c r="F328" s="5"/>
    </row>
    <row r="329">
      <c r="D329" s="1"/>
      <c r="E329" s="5"/>
      <c r="F329" s="5"/>
    </row>
    <row r="330">
      <c r="D330" s="1"/>
      <c r="E330" s="5"/>
      <c r="F330" s="5"/>
    </row>
    <row r="331">
      <c r="D331" s="1"/>
      <c r="E331" s="5"/>
      <c r="F331" s="5"/>
    </row>
    <row r="332">
      <c r="D332" s="1"/>
      <c r="E332" s="5"/>
      <c r="F332" s="5"/>
    </row>
    <row r="333">
      <c r="D333" s="1"/>
      <c r="E333" s="5"/>
      <c r="F333" s="5"/>
    </row>
    <row r="334">
      <c r="D334" s="1"/>
      <c r="E334" s="5"/>
      <c r="F334" s="5"/>
    </row>
    <row r="335">
      <c r="D335" s="1"/>
      <c r="E335" s="5"/>
      <c r="F335" s="5"/>
    </row>
    <row r="336">
      <c r="D336" s="1"/>
      <c r="E336" s="5"/>
      <c r="F336" s="5"/>
    </row>
    <row r="337">
      <c r="D337" s="1"/>
      <c r="E337" s="5"/>
      <c r="F337" s="5"/>
    </row>
    <row r="338">
      <c r="D338" s="1"/>
      <c r="E338" s="5"/>
      <c r="F338" s="5"/>
    </row>
    <row r="339">
      <c r="D339" s="1"/>
      <c r="E339" s="5"/>
      <c r="F339" s="5"/>
    </row>
    <row r="340">
      <c r="D340" s="1"/>
      <c r="E340" s="5"/>
      <c r="F340" s="5"/>
    </row>
    <row r="341">
      <c r="D341" s="1"/>
      <c r="E341" s="5"/>
      <c r="F341" s="5"/>
    </row>
    <row r="342">
      <c r="D342" s="1"/>
      <c r="E342" s="5"/>
      <c r="F342" s="5"/>
    </row>
    <row r="343">
      <c r="D343" s="1"/>
      <c r="E343" s="5"/>
      <c r="F343" s="5"/>
    </row>
    <row r="344">
      <c r="D344" s="1"/>
      <c r="E344" s="5"/>
      <c r="F344" s="5"/>
    </row>
    <row r="345">
      <c r="D345" s="1"/>
      <c r="E345" s="5"/>
      <c r="F345" s="5"/>
    </row>
    <row r="346">
      <c r="D346" s="1"/>
      <c r="E346" s="5"/>
      <c r="F346" s="5"/>
    </row>
    <row r="347">
      <c r="D347" s="1"/>
      <c r="E347" s="5"/>
      <c r="F347" s="5"/>
    </row>
    <row r="348">
      <c r="D348" s="1"/>
      <c r="E348" s="5"/>
      <c r="F348" s="5"/>
    </row>
    <row r="349">
      <c r="D349" s="1"/>
      <c r="E349" s="5"/>
      <c r="F349" s="5"/>
    </row>
    <row r="350">
      <c r="D350" s="1"/>
      <c r="E350" s="5"/>
      <c r="F350" s="5"/>
    </row>
    <row r="351">
      <c r="D351" s="1"/>
      <c r="E351" s="5"/>
      <c r="F351" s="5"/>
    </row>
    <row r="352">
      <c r="D352" s="1"/>
      <c r="E352" s="5"/>
      <c r="F352" s="5"/>
    </row>
    <row r="353">
      <c r="D353" s="1"/>
      <c r="E353" s="5"/>
      <c r="F353" s="5"/>
    </row>
    <row r="354">
      <c r="D354" s="1"/>
      <c r="E354" s="5"/>
      <c r="F354" s="5"/>
    </row>
    <row r="355">
      <c r="D355" s="1"/>
      <c r="E355" s="5"/>
      <c r="F355" s="5"/>
    </row>
    <row r="356">
      <c r="D356" s="1"/>
      <c r="E356" s="5"/>
      <c r="F356" s="5"/>
    </row>
    <row r="357">
      <c r="D357" s="1"/>
      <c r="E357" s="5"/>
      <c r="F357" s="5"/>
    </row>
    <row r="358">
      <c r="D358" s="1"/>
      <c r="E358" s="5"/>
      <c r="F358" s="5"/>
    </row>
    <row r="359">
      <c r="D359" s="1"/>
      <c r="E359" s="5"/>
      <c r="F359" s="5"/>
    </row>
    <row r="360">
      <c r="D360" s="1"/>
      <c r="E360" s="5"/>
      <c r="F360" s="5"/>
    </row>
    <row r="361">
      <c r="D361" s="1"/>
      <c r="E361" s="5"/>
      <c r="F361" s="5"/>
    </row>
    <row r="362">
      <c r="D362" s="1"/>
      <c r="E362" s="5"/>
      <c r="F362" s="5"/>
    </row>
    <row r="363">
      <c r="D363" s="1"/>
      <c r="E363" s="5"/>
      <c r="F363" s="5"/>
    </row>
    <row r="364">
      <c r="D364" s="1"/>
      <c r="E364" s="5"/>
      <c r="F364" s="5"/>
    </row>
    <row r="365">
      <c r="D365" s="1"/>
      <c r="E365" s="5"/>
      <c r="F365" s="5"/>
    </row>
    <row r="366">
      <c r="D366" s="1"/>
      <c r="E366" s="5"/>
      <c r="F366" s="5"/>
    </row>
    <row r="367">
      <c r="D367" s="1"/>
      <c r="E367" s="5"/>
      <c r="F367" s="5"/>
    </row>
    <row r="368">
      <c r="D368" s="1"/>
      <c r="E368" s="5"/>
      <c r="F368" s="5"/>
    </row>
    <row r="369">
      <c r="D369" s="1"/>
      <c r="E369" s="5"/>
      <c r="F369" s="5"/>
    </row>
    <row r="370">
      <c r="D370" s="1"/>
      <c r="E370" s="5"/>
      <c r="F370" s="5"/>
    </row>
    <row r="371">
      <c r="D371" s="1"/>
      <c r="E371" s="5"/>
      <c r="F371" s="5"/>
    </row>
    <row r="372">
      <c r="D372" s="1"/>
      <c r="E372" s="5"/>
      <c r="F372" s="5"/>
    </row>
    <row r="373">
      <c r="D373" s="1"/>
      <c r="E373" s="5"/>
      <c r="F373" s="5"/>
    </row>
    <row r="374">
      <c r="D374" s="1"/>
      <c r="E374" s="5"/>
      <c r="F374" s="5"/>
    </row>
    <row r="375">
      <c r="D375" s="1"/>
      <c r="E375" s="5"/>
      <c r="F375" s="5"/>
    </row>
    <row r="376">
      <c r="D376" s="1"/>
      <c r="E376" s="5"/>
      <c r="F376" s="5"/>
    </row>
    <row r="377">
      <c r="D377" s="1"/>
      <c r="E377" s="5"/>
      <c r="F377" s="5"/>
    </row>
    <row r="378">
      <c r="D378" s="1"/>
      <c r="E378" s="5"/>
      <c r="F378" s="5"/>
    </row>
    <row r="379">
      <c r="D379" s="1"/>
      <c r="E379" s="5"/>
      <c r="F379" s="5"/>
    </row>
    <row r="380">
      <c r="D380" s="1"/>
      <c r="E380" s="5"/>
      <c r="F380" s="5"/>
    </row>
    <row r="381">
      <c r="D381" s="1"/>
      <c r="E381" s="5"/>
      <c r="F381" s="5"/>
    </row>
    <row r="382">
      <c r="D382" s="1"/>
      <c r="E382" s="5"/>
      <c r="F382" s="5"/>
    </row>
    <row r="383">
      <c r="D383" s="1"/>
      <c r="E383" s="5"/>
      <c r="F383" s="5"/>
    </row>
    <row r="384">
      <c r="D384" s="1"/>
      <c r="E384" s="5"/>
      <c r="F384" s="5"/>
    </row>
    <row r="385">
      <c r="D385" s="1"/>
      <c r="E385" s="5"/>
      <c r="F385" s="5"/>
    </row>
    <row r="386">
      <c r="D386" s="1"/>
      <c r="E386" s="5"/>
      <c r="F386" s="5"/>
    </row>
    <row r="387">
      <c r="D387" s="1"/>
      <c r="E387" s="5"/>
      <c r="F387" s="5"/>
    </row>
    <row r="388">
      <c r="D388" s="1"/>
      <c r="E388" s="5"/>
      <c r="F388" s="5"/>
    </row>
    <row r="389">
      <c r="D389" s="1"/>
      <c r="E389" s="5"/>
      <c r="F389" s="5"/>
    </row>
    <row r="390">
      <c r="D390" s="1"/>
      <c r="E390" s="5"/>
      <c r="F390" s="5"/>
    </row>
    <row r="391">
      <c r="D391" s="1"/>
      <c r="E391" s="5"/>
      <c r="F391" s="5"/>
    </row>
    <row r="392">
      <c r="D392" s="1"/>
      <c r="E392" s="5"/>
      <c r="F392" s="5"/>
    </row>
    <row r="393">
      <c r="D393" s="1"/>
      <c r="E393" s="5"/>
      <c r="F393" s="5"/>
    </row>
    <row r="394">
      <c r="D394" s="1"/>
      <c r="E394" s="5"/>
      <c r="F394" s="5"/>
    </row>
    <row r="395">
      <c r="D395" s="1"/>
      <c r="E395" s="5"/>
      <c r="F395" s="5"/>
    </row>
    <row r="396">
      <c r="D396" s="1"/>
      <c r="E396" s="5"/>
      <c r="F396" s="5"/>
    </row>
    <row r="397">
      <c r="D397" s="1"/>
      <c r="E397" s="5"/>
      <c r="F397" s="5"/>
    </row>
    <row r="398">
      <c r="D398" s="1"/>
      <c r="E398" s="5"/>
      <c r="F398" s="5"/>
    </row>
    <row r="399">
      <c r="D399" s="1"/>
      <c r="E399" s="5"/>
      <c r="F399" s="5"/>
    </row>
    <row r="400">
      <c r="D400" s="1"/>
      <c r="E400" s="5"/>
      <c r="F400" s="5"/>
    </row>
    <row r="401">
      <c r="D401" s="1"/>
      <c r="E401" s="5"/>
      <c r="F401" s="5"/>
    </row>
    <row r="402">
      <c r="D402" s="1"/>
      <c r="E402" s="5"/>
      <c r="F402" s="5"/>
    </row>
    <row r="403">
      <c r="D403" s="1"/>
      <c r="E403" s="5"/>
      <c r="F403" s="5"/>
    </row>
    <row r="404">
      <c r="D404" s="1"/>
      <c r="E404" s="5"/>
      <c r="F404" s="5"/>
    </row>
    <row r="405">
      <c r="D405" s="1"/>
      <c r="E405" s="5"/>
      <c r="F405" s="5"/>
    </row>
    <row r="406">
      <c r="D406" s="1"/>
      <c r="E406" s="5"/>
      <c r="F406" s="5"/>
    </row>
    <row r="407">
      <c r="D407" s="1"/>
      <c r="E407" s="5"/>
      <c r="F407" s="5"/>
    </row>
    <row r="408">
      <c r="D408" s="1"/>
      <c r="E408" s="5"/>
      <c r="F408" s="5"/>
    </row>
    <row r="409">
      <c r="D409" s="1"/>
      <c r="E409" s="5"/>
      <c r="F409" s="5"/>
    </row>
    <row r="410">
      <c r="D410" s="1"/>
      <c r="E410" s="5"/>
      <c r="F410" s="5"/>
    </row>
    <row r="411">
      <c r="D411" s="1"/>
      <c r="E411" s="5"/>
      <c r="F411" s="5"/>
    </row>
    <row r="412">
      <c r="D412" s="1"/>
      <c r="E412" s="5"/>
      <c r="F412" s="5"/>
    </row>
    <row r="413">
      <c r="D413" s="1"/>
      <c r="E413" s="5"/>
      <c r="F413" s="5"/>
    </row>
    <row r="414">
      <c r="D414" s="1"/>
      <c r="E414" s="5"/>
      <c r="F414" s="5"/>
    </row>
    <row r="415">
      <c r="D415" s="1"/>
      <c r="E415" s="5"/>
      <c r="F415" s="5"/>
    </row>
    <row r="416">
      <c r="D416" s="1"/>
      <c r="E416" s="5"/>
      <c r="F416" s="5"/>
    </row>
    <row r="417">
      <c r="D417" s="1"/>
      <c r="E417" s="5"/>
      <c r="F417" s="5"/>
    </row>
    <row r="418">
      <c r="D418" s="1"/>
      <c r="E418" s="5"/>
      <c r="F418" s="5"/>
    </row>
    <row r="419">
      <c r="D419" s="1"/>
      <c r="E419" s="5"/>
      <c r="F419" s="5"/>
    </row>
    <row r="420">
      <c r="D420" s="1"/>
      <c r="E420" s="5"/>
      <c r="F420" s="5"/>
    </row>
    <row r="421">
      <c r="D421" s="1"/>
      <c r="E421" s="5"/>
      <c r="F421" s="5"/>
    </row>
    <row r="422">
      <c r="D422" s="1"/>
      <c r="E422" s="5"/>
      <c r="F422" s="5"/>
    </row>
    <row r="423">
      <c r="D423" s="1"/>
      <c r="E423" s="5"/>
      <c r="F423" s="5"/>
    </row>
    <row r="424">
      <c r="D424" s="1"/>
      <c r="E424" s="5"/>
      <c r="F424" s="5"/>
    </row>
    <row r="425">
      <c r="D425" s="1"/>
      <c r="E425" s="5"/>
      <c r="F425" s="5"/>
    </row>
    <row r="426">
      <c r="D426" s="1"/>
      <c r="E426" s="5"/>
      <c r="F426" s="5"/>
    </row>
    <row r="427">
      <c r="D427" s="1"/>
      <c r="E427" s="5"/>
      <c r="F427" s="5"/>
    </row>
    <row r="428">
      <c r="D428" s="1"/>
      <c r="E428" s="5"/>
      <c r="F428" s="5"/>
    </row>
    <row r="429">
      <c r="D429" s="1"/>
      <c r="E429" s="5"/>
      <c r="F429" s="5"/>
    </row>
    <row r="430">
      <c r="D430" s="1"/>
      <c r="E430" s="5"/>
      <c r="F430" s="5"/>
    </row>
    <row r="431">
      <c r="D431" s="1"/>
      <c r="E431" s="5"/>
      <c r="F431" s="5"/>
    </row>
    <row r="432">
      <c r="D432" s="1"/>
      <c r="E432" s="5"/>
      <c r="F432" s="5"/>
    </row>
    <row r="433">
      <c r="D433" s="1"/>
      <c r="E433" s="5"/>
      <c r="F433" s="5"/>
    </row>
    <row r="434">
      <c r="D434" s="1"/>
      <c r="E434" s="5"/>
      <c r="F434" s="5"/>
    </row>
    <row r="435">
      <c r="D435" s="1"/>
      <c r="E435" s="5"/>
      <c r="F435" s="5"/>
    </row>
    <row r="436">
      <c r="D436" s="1"/>
      <c r="E436" s="5"/>
      <c r="F436" s="5"/>
    </row>
    <row r="437">
      <c r="D437" s="1"/>
      <c r="E437" s="5"/>
      <c r="F437" s="5"/>
    </row>
    <row r="438">
      <c r="D438" s="1"/>
      <c r="E438" s="5"/>
      <c r="F438" s="5"/>
    </row>
    <row r="439">
      <c r="D439" s="1"/>
      <c r="E439" s="5"/>
      <c r="F439" s="5"/>
    </row>
    <row r="440">
      <c r="D440" s="1"/>
      <c r="E440" s="5"/>
      <c r="F440" s="5"/>
    </row>
    <row r="441">
      <c r="D441" s="1"/>
      <c r="E441" s="5"/>
      <c r="F441" s="5"/>
    </row>
    <row r="442">
      <c r="D442" s="1"/>
      <c r="E442" s="5"/>
      <c r="F442" s="5"/>
    </row>
    <row r="443">
      <c r="D443" s="1"/>
      <c r="E443" s="5"/>
      <c r="F443" s="5"/>
    </row>
    <row r="444">
      <c r="D444" s="1"/>
      <c r="E444" s="5"/>
      <c r="F444" s="5"/>
    </row>
    <row r="445">
      <c r="D445" s="1"/>
      <c r="E445" s="5"/>
      <c r="F445" s="5"/>
    </row>
    <row r="446">
      <c r="D446" s="1"/>
      <c r="E446" s="5"/>
      <c r="F446" s="5"/>
    </row>
    <row r="447">
      <c r="D447" s="1"/>
      <c r="E447" s="5"/>
      <c r="F447" s="5"/>
    </row>
    <row r="448">
      <c r="D448" s="1"/>
      <c r="E448" s="5"/>
      <c r="F448" s="5"/>
    </row>
    <row r="449">
      <c r="D449" s="1"/>
      <c r="E449" s="5"/>
      <c r="F449" s="5"/>
    </row>
    <row r="450">
      <c r="D450" s="1"/>
      <c r="E450" s="5"/>
      <c r="F450" s="5"/>
    </row>
    <row r="451">
      <c r="D451" s="1"/>
      <c r="E451" s="5"/>
      <c r="F451" s="5"/>
    </row>
    <row r="452">
      <c r="D452" s="1"/>
      <c r="E452" s="5"/>
      <c r="F452" s="5"/>
    </row>
    <row r="453">
      <c r="D453" s="1"/>
      <c r="E453" s="5"/>
      <c r="F453" s="5"/>
    </row>
    <row r="454">
      <c r="D454" s="1"/>
      <c r="E454" s="5"/>
      <c r="F454" s="5"/>
    </row>
    <row r="455">
      <c r="D455" s="1"/>
      <c r="E455" s="5"/>
      <c r="F455" s="5"/>
    </row>
    <row r="456">
      <c r="D456" s="1"/>
      <c r="E456" s="5"/>
      <c r="F456" s="5"/>
    </row>
    <row r="457">
      <c r="D457" s="1"/>
      <c r="E457" s="5"/>
      <c r="F457" s="5"/>
    </row>
    <row r="458">
      <c r="D458" s="1"/>
      <c r="E458" s="5"/>
      <c r="F458" s="5"/>
    </row>
    <row r="459">
      <c r="D459" s="1"/>
      <c r="E459" s="5"/>
      <c r="F459" s="5"/>
    </row>
    <row r="460">
      <c r="D460" s="1"/>
      <c r="E460" s="5"/>
      <c r="F460" s="5"/>
    </row>
    <row r="461">
      <c r="D461" s="1"/>
      <c r="E461" s="5"/>
      <c r="F461" s="5"/>
    </row>
    <row r="462">
      <c r="D462" s="1"/>
      <c r="E462" s="5"/>
      <c r="F462" s="5"/>
    </row>
    <row r="463">
      <c r="D463" s="1"/>
      <c r="E463" s="5"/>
      <c r="F463" s="5"/>
    </row>
    <row r="464">
      <c r="D464" s="1"/>
      <c r="E464" s="5"/>
      <c r="F464" s="5"/>
    </row>
    <row r="465">
      <c r="D465" s="1"/>
      <c r="E465" s="5"/>
      <c r="F465" s="5"/>
    </row>
    <row r="466">
      <c r="D466" s="1"/>
      <c r="E466" s="5"/>
      <c r="F466" s="5"/>
    </row>
    <row r="467">
      <c r="D467" s="1"/>
      <c r="E467" s="5"/>
      <c r="F467" s="5"/>
    </row>
    <row r="468">
      <c r="D468" s="1"/>
      <c r="E468" s="5"/>
      <c r="F468" s="5"/>
    </row>
    <row r="469">
      <c r="D469" s="1"/>
      <c r="E469" s="5"/>
      <c r="F469" s="5"/>
    </row>
    <row r="470">
      <c r="D470" s="1"/>
      <c r="E470" s="5"/>
      <c r="F470" s="5"/>
    </row>
    <row r="471">
      <c r="D471" s="1"/>
      <c r="E471" s="5"/>
      <c r="F471" s="5"/>
    </row>
    <row r="472">
      <c r="D472" s="1"/>
      <c r="E472" s="5"/>
      <c r="F472" s="5"/>
    </row>
    <row r="473">
      <c r="D473" s="1"/>
      <c r="E473" s="5"/>
      <c r="F473" s="5"/>
    </row>
    <row r="474">
      <c r="D474" s="1"/>
      <c r="E474" s="5"/>
      <c r="F474" s="5"/>
    </row>
    <row r="475">
      <c r="D475" s="1"/>
      <c r="E475" s="5"/>
      <c r="F475" s="5"/>
    </row>
    <row r="476">
      <c r="D476" s="1"/>
      <c r="E476" s="5"/>
      <c r="F476" s="5"/>
    </row>
    <row r="477">
      <c r="D477" s="1"/>
      <c r="E477" s="5"/>
      <c r="F477" s="5"/>
    </row>
    <row r="478">
      <c r="D478" s="1"/>
      <c r="E478" s="5"/>
      <c r="F478" s="5"/>
    </row>
    <row r="479">
      <c r="D479" s="1"/>
      <c r="E479" s="5"/>
      <c r="F479" s="5"/>
    </row>
    <row r="480">
      <c r="D480" s="1"/>
      <c r="E480" s="5"/>
      <c r="F480" s="5"/>
    </row>
    <row r="481">
      <c r="D481" s="1"/>
      <c r="E481" s="5"/>
      <c r="F481" s="5"/>
    </row>
    <row r="482">
      <c r="D482" s="1"/>
      <c r="E482" s="5"/>
      <c r="F482" s="5"/>
    </row>
    <row r="483">
      <c r="D483" s="1"/>
      <c r="E483" s="5"/>
      <c r="F483" s="5"/>
    </row>
    <row r="484">
      <c r="D484" s="1"/>
      <c r="E484" s="5"/>
      <c r="F484" s="5"/>
    </row>
    <row r="485">
      <c r="D485" s="1"/>
      <c r="E485" s="5"/>
      <c r="F485" s="5"/>
    </row>
    <row r="486">
      <c r="D486" s="1"/>
      <c r="E486" s="5"/>
      <c r="F486" s="5"/>
    </row>
    <row r="487">
      <c r="D487" s="1"/>
      <c r="E487" s="5"/>
      <c r="F487" s="5"/>
    </row>
    <row r="488">
      <c r="D488" s="1"/>
      <c r="E488" s="5"/>
      <c r="F488" s="5"/>
    </row>
    <row r="489">
      <c r="D489" s="1"/>
      <c r="E489" s="5"/>
      <c r="F489" s="5"/>
    </row>
    <row r="490">
      <c r="D490" s="1"/>
      <c r="E490" s="5"/>
      <c r="F490" s="5"/>
    </row>
    <row r="491">
      <c r="D491" s="1"/>
      <c r="E491" s="5"/>
      <c r="F491" s="5"/>
    </row>
    <row r="492">
      <c r="D492" s="1"/>
      <c r="E492" s="5"/>
      <c r="F492" s="5"/>
    </row>
    <row r="493">
      <c r="D493" s="1"/>
      <c r="E493" s="5"/>
      <c r="F493" s="5"/>
    </row>
    <row r="494">
      <c r="D494" s="1"/>
      <c r="E494" s="5"/>
      <c r="F494" s="5"/>
    </row>
    <row r="495">
      <c r="D495" s="1"/>
      <c r="E495" s="5"/>
      <c r="F495" s="5"/>
    </row>
    <row r="496">
      <c r="D496" s="1"/>
      <c r="E496" s="5"/>
      <c r="F496" s="5"/>
    </row>
    <row r="497">
      <c r="D497" s="1"/>
      <c r="E497" s="5"/>
      <c r="F497" s="5"/>
    </row>
    <row r="498">
      <c r="D498" s="1"/>
      <c r="E498" s="5"/>
      <c r="F498" s="5"/>
    </row>
    <row r="499">
      <c r="D499" s="1"/>
      <c r="E499" s="5"/>
      <c r="F499" s="5"/>
    </row>
    <row r="500">
      <c r="D500" s="1"/>
      <c r="E500" s="5"/>
      <c r="F500" s="5"/>
    </row>
    <row r="501">
      <c r="D501" s="1"/>
      <c r="E501" s="5"/>
      <c r="F501" s="5"/>
    </row>
    <row r="502">
      <c r="D502" s="1"/>
      <c r="E502" s="5"/>
      <c r="F502" s="5"/>
    </row>
    <row r="503">
      <c r="D503" s="1"/>
      <c r="E503" s="5"/>
      <c r="F503" s="5"/>
    </row>
    <row r="504">
      <c r="D504" s="1"/>
      <c r="E504" s="5"/>
      <c r="F504" s="5"/>
    </row>
    <row r="505">
      <c r="D505" s="1"/>
      <c r="E505" s="5"/>
      <c r="F505" s="5"/>
    </row>
    <row r="506">
      <c r="D506" s="1"/>
      <c r="E506" s="5"/>
      <c r="F506" s="5"/>
    </row>
    <row r="507">
      <c r="D507" s="1"/>
      <c r="E507" s="5"/>
      <c r="F507" s="5"/>
    </row>
    <row r="508">
      <c r="D508" s="1"/>
      <c r="E508" s="5"/>
      <c r="F508" s="5"/>
    </row>
    <row r="509">
      <c r="D509" s="1"/>
      <c r="E509" s="5"/>
      <c r="F509" s="5"/>
    </row>
    <row r="510">
      <c r="D510" s="1"/>
      <c r="E510" s="5"/>
      <c r="F510" s="5"/>
    </row>
    <row r="511">
      <c r="D511" s="1"/>
      <c r="E511" s="5"/>
      <c r="F511" s="5"/>
    </row>
    <row r="512">
      <c r="D512" s="1"/>
      <c r="E512" s="5"/>
      <c r="F512" s="5"/>
    </row>
    <row r="513">
      <c r="D513" s="1"/>
      <c r="E513" s="5"/>
      <c r="F513" s="5"/>
    </row>
    <row r="514">
      <c r="D514" s="1"/>
      <c r="E514" s="5"/>
      <c r="F514" s="5"/>
    </row>
    <row r="515">
      <c r="D515" s="1"/>
      <c r="E515" s="5"/>
      <c r="F515" s="5"/>
    </row>
    <row r="516">
      <c r="D516" s="1"/>
      <c r="E516" s="5"/>
      <c r="F516" s="5"/>
    </row>
    <row r="517">
      <c r="D517" s="1"/>
      <c r="E517" s="5"/>
      <c r="F517" s="5"/>
    </row>
    <row r="518">
      <c r="D518" s="1"/>
      <c r="E518" s="5"/>
      <c r="F518" s="5"/>
    </row>
    <row r="519">
      <c r="D519" s="1"/>
      <c r="E519" s="5"/>
      <c r="F519" s="5"/>
    </row>
    <row r="520">
      <c r="D520" s="1"/>
      <c r="E520" s="5"/>
      <c r="F520" s="5"/>
    </row>
    <row r="521">
      <c r="D521" s="1"/>
      <c r="E521" s="5"/>
      <c r="F521" s="5"/>
    </row>
    <row r="522">
      <c r="D522" s="1"/>
      <c r="E522" s="5"/>
      <c r="F522" s="5"/>
    </row>
    <row r="523">
      <c r="D523" s="1"/>
      <c r="E523" s="5"/>
      <c r="F523" s="5"/>
    </row>
    <row r="524">
      <c r="D524" s="1"/>
      <c r="E524" s="5"/>
      <c r="F524" s="5"/>
    </row>
    <row r="525">
      <c r="D525" s="1"/>
      <c r="E525" s="5"/>
      <c r="F525" s="5"/>
    </row>
    <row r="526">
      <c r="D526" s="1"/>
      <c r="E526" s="5"/>
      <c r="F526" s="5"/>
    </row>
    <row r="527">
      <c r="D527" s="1"/>
      <c r="E527" s="5"/>
      <c r="F527" s="5"/>
    </row>
    <row r="528">
      <c r="D528" s="1"/>
      <c r="E528" s="5"/>
      <c r="F528" s="5"/>
    </row>
    <row r="529">
      <c r="D529" s="1"/>
      <c r="E529" s="5"/>
      <c r="F529" s="5"/>
    </row>
    <row r="530">
      <c r="D530" s="1"/>
      <c r="E530" s="5"/>
      <c r="F530" s="5"/>
    </row>
    <row r="531">
      <c r="D531" s="1"/>
      <c r="E531" s="5"/>
      <c r="F531" s="5"/>
    </row>
    <row r="532">
      <c r="D532" s="1"/>
      <c r="E532" s="5"/>
      <c r="F532" s="5"/>
    </row>
    <row r="533">
      <c r="D533" s="1"/>
      <c r="E533" s="5"/>
      <c r="F533" s="5"/>
    </row>
    <row r="534">
      <c r="D534" s="1"/>
      <c r="E534" s="5"/>
      <c r="F534" s="5"/>
    </row>
    <row r="535">
      <c r="D535" s="1"/>
      <c r="E535" s="5"/>
      <c r="F535" s="5"/>
    </row>
    <row r="536">
      <c r="D536" s="1"/>
      <c r="E536" s="5"/>
      <c r="F536" s="5"/>
    </row>
    <row r="537">
      <c r="D537" s="1"/>
      <c r="E537" s="5"/>
      <c r="F537" s="5"/>
    </row>
    <row r="538">
      <c r="D538" s="1"/>
      <c r="E538" s="5"/>
      <c r="F538" s="5"/>
    </row>
    <row r="539">
      <c r="D539" s="1"/>
      <c r="E539" s="5"/>
      <c r="F539" s="5"/>
    </row>
    <row r="540">
      <c r="D540" s="1"/>
      <c r="E540" s="5"/>
      <c r="F540" s="5"/>
    </row>
    <row r="541">
      <c r="D541" s="1"/>
      <c r="E541" s="5"/>
      <c r="F541" s="5"/>
    </row>
    <row r="542">
      <c r="D542" s="1"/>
      <c r="E542" s="5"/>
      <c r="F542" s="5"/>
    </row>
    <row r="543">
      <c r="D543" s="1"/>
      <c r="E543" s="5"/>
      <c r="F543" s="5"/>
    </row>
    <row r="544">
      <c r="D544" s="1"/>
      <c r="E544" s="5"/>
      <c r="F544" s="5"/>
    </row>
    <row r="545">
      <c r="D545" s="1"/>
      <c r="E545" s="5"/>
      <c r="F545" s="5"/>
    </row>
    <row r="546">
      <c r="D546" s="1"/>
      <c r="E546" s="5"/>
      <c r="F546" s="5"/>
    </row>
    <row r="547">
      <c r="D547" s="1"/>
      <c r="E547" s="5"/>
      <c r="F547" s="5"/>
    </row>
    <row r="548">
      <c r="D548" s="1"/>
      <c r="E548" s="5"/>
      <c r="F548" s="5"/>
    </row>
    <row r="549">
      <c r="D549" s="1"/>
      <c r="E549" s="5"/>
      <c r="F549" s="5"/>
    </row>
    <row r="550">
      <c r="D550" s="1"/>
      <c r="E550" s="5"/>
      <c r="F550" s="5"/>
    </row>
    <row r="551">
      <c r="D551" s="1"/>
      <c r="E551" s="5"/>
      <c r="F551" s="5"/>
    </row>
    <row r="552">
      <c r="D552" s="1"/>
      <c r="E552" s="5"/>
      <c r="F552" s="5"/>
    </row>
    <row r="553">
      <c r="D553" s="1"/>
      <c r="E553" s="5"/>
      <c r="F553" s="5"/>
    </row>
    <row r="554">
      <c r="D554" s="1"/>
      <c r="E554" s="5"/>
      <c r="F554" s="5"/>
    </row>
    <row r="555">
      <c r="D555" s="1"/>
      <c r="E555" s="5"/>
      <c r="F555" s="5"/>
    </row>
    <row r="556">
      <c r="D556" s="1"/>
      <c r="E556" s="5"/>
      <c r="F556" s="5"/>
    </row>
    <row r="557">
      <c r="D557" s="1"/>
      <c r="E557" s="5"/>
      <c r="F557" s="5"/>
    </row>
    <row r="558">
      <c r="D558" s="1"/>
      <c r="E558" s="5"/>
      <c r="F558" s="5"/>
    </row>
    <row r="559">
      <c r="D559" s="1"/>
      <c r="E559" s="5"/>
      <c r="F559" s="5"/>
    </row>
    <row r="560">
      <c r="D560" s="1"/>
      <c r="E560" s="5"/>
      <c r="F560" s="5"/>
    </row>
    <row r="561">
      <c r="D561" s="1"/>
      <c r="E561" s="5"/>
      <c r="F561" s="5"/>
    </row>
    <row r="562">
      <c r="D562" s="1"/>
      <c r="E562" s="5"/>
      <c r="F562" s="5"/>
    </row>
    <row r="563">
      <c r="D563" s="1"/>
      <c r="E563" s="5"/>
      <c r="F563" s="5"/>
    </row>
    <row r="564">
      <c r="D564" s="1"/>
      <c r="E564" s="5"/>
      <c r="F564" s="5"/>
    </row>
    <row r="565">
      <c r="D565" s="1"/>
      <c r="E565" s="5"/>
      <c r="F565" s="5"/>
    </row>
    <row r="566">
      <c r="D566" s="1"/>
      <c r="E566" s="5"/>
      <c r="F566" s="5"/>
    </row>
    <row r="567">
      <c r="D567" s="1"/>
      <c r="E567" s="5"/>
      <c r="F567" s="5"/>
    </row>
    <row r="568">
      <c r="D568" s="1"/>
      <c r="E568" s="5"/>
      <c r="F568" s="5"/>
    </row>
    <row r="569">
      <c r="D569" s="1"/>
      <c r="E569" s="5"/>
      <c r="F569" s="5"/>
    </row>
    <row r="570">
      <c r="D570" s="1"/>
      <c r="E570" s="5"/>
      <c r="F570" s="5"/>
    </row>
    <row r="571">
      <c r="D571" s="1"/>
      <c r="E571" s="5"/>
      <c r="F571" s="5"/>
    </row>
    <row r="572">
      <c r="D572" s="1"/>
      <c r="E572" s="5"/>
      <c r="F572" s="5"/>
    </row>
    <row r="573">
      <c r="D573" s="1"/>
      <c r="E573" s="5"/>
      <c r="F573" s="5"/>
    </row>
    <row r="574">
      <c r="D574" s="1"/>
      <c r="E574" s="5"/>
      <c r="F574" s="5"/>
    </row>
    <row r="575">
      <c r="D575" s="1"/>
      <c r="E575" s="5"/>
      <c r="F575" s="5"/>
    </row>
    <row r="576">
      <c r="D576" s="1"/>
      <c r="E576" s="5"/>
      <c r="F576" s="5"/>
    </row>
    <row r="577">
      <c r="D577" s="1"/>
      <c r="E577" s="5"/>
      <c r="F577" s="5"/>
    </row>
    <row r="578">
      <c r="D578" s="1"/>
      <c r="E578" s="5"/>
      <c r="F578" s="5"/>
    </row>
    <row r="579">
      <c r="D579" s="1"/>
      <c r="E579" s="5"/>
      <c r="F579" s="5"/>
    </row>
    <row r="580">
      <c r="D580" s="1"/>
      <c r="E580" s="5"/>
      <c r="F580" s="5"/>
    </row>
    <row r="581">
      <c r="D581" s="1"/>
      <c r="E581" s="5"/>
      <c r="F581" s="5"/>
    </row>
    <row r="582">
      <c r="D582" s="1"/>
      <c r="E582" s="5"/>
      <c r="F582" s="5"/>
    </row>
    <row r="583">
      <c r="D583" s="1"/>
      <c r="E583" s="5"/>
      <c r="F583" s="5"/>
    </row>
    <row r="584">
      <c r="D584" s="1"/>
      <c r="E584" s="5"/>
      <c r="F584" s="5"/>
    </row>
    <row r="585">
      <c r="D585" s="1"/>
      <c r="E585" s="5"/>
      <c r="F585" s="5"/>
    </row>
    <row r="586">
      <c r="D586" s="1"/>
      <c r="E586" s="5"/>
      <c r="F586" s="5"/>
    </row>
    <row r="587">
      <c r="D587" s="1"/>
      <c r="E587" s="5"/>
      <c r="F587" s="5"/>
    </row>
    <row r="588">
      <c r="D588" s="1"/>
      <c r="E588" s="5"/>
      <c r="F588" s="5"/>
    </row>
    <row r="589">
      <c r="D589" s="1"/>
      <c r="E589" s="5"/>
      <c r="F589" s="5"/>
    </row>
    <row r="590">
      <c r="D590" s="1"/>
      <c r="E590" s="5"/>
      <c r="F590" s="5"/>
    </row>
    <row r="591">
      <c r="D591" s="1"/>
      <c r="E591" s="5"/>
      <c r="F591" s="5"/>
    </row>
    <row r="592">
      <c r="D592" s="1"/>
      <c r="E592" s="5"/>
      <c r="F592" s="5"/>
    </row>
    <row r="593">
      <c r="D593" s="1"/>
      <c r="E593" s="5"/>
      <c r="F593" s="5"/>
    </row>
    <row r="594">
      <c r="D594" s="1"/>
      <c r="E594" s="5"/>
      <c r="F594" s="5"/>
    </row>
    <row r="595">
      <c r="D595" s="1"/>
      <c r="E595" s="5"/>
      <c r="F595" s="5"/>
    </row>
    <row r="596">
      <c r="D596" s="1"/>
      <c r="E596" s="5"/>
      <c r="F596" s="5"/>
    </row>
    <row r="597">
      <c r="D597" s="1"/>
      <c r="E597" s="5"/>
      <c r="F597" s="5"/>
    </row>
    <row r="598">
      <c r="D598" s="1"/>
      <c r="E598" s="5"/>
      <c r="F598" s="5"/>
    </row>
    <row r="599">
      <c r="D599" s="1"/>
      <c r="E599" s="5"/>
      <c r="F599" s="5"/>
    </row>
    <row r="600">
      <c r="D600" s="1"/>
      <c r="E600" s="5"/>
      <c r="F600" s="5"/>
    </row>
    <row r="601">
      <c r="D601" s="1"/>
      <c r="E601" s="5"/>
      <c r="F601" s="5"/>
    </row>
    <row r="602">
      <c r="D602" s="1"/>
      <c r="E602" s="5"/>
      <c r="F602" s="5"/>
    </row>
    <row r="603">
      <c r="D603" s="1"/>
      <c r="E603" s="5"/>
      <c r="F603" s="5"/>
    </row>
    <row r="604">
      <c r="D604" s="1"/>
      <c r="E604" s="5"/>
      <c r="F604" s="5"/>
    </row>
    <row r="605">
      <c r="D605" s="1"/>
      <c r="E605" s="5"/>
      <c r="F605" s="5"/>
    </row>
    <row r="606">
      <c r="D606" s="1"/>
      <c r="E606" s="5"/>
      <c r="F606" s="5"/>
    </row>
    <row r="607">
      <c r="D607" s="1"/>
      <c r="E607" s="5"/>
      <c r="F607" s="5"/>
    </row>
    <row r="608">
      <c r="D608" s="1"/>
      <c r="E608" s="5"/>
      <c r="F608" s="5"/>
    </row>
    <row r="609">
      <c r="D609" s="1"/>
      <c r="E609" s="5"/>
      <c r="F609" s="5"/>
    </row>
    <row r="610">
      <c r="D610" s="1"/>
      <c r="E610" s="5"/>
      <c r="F610" s="5"/>
    </row>
    <row r="611">
      <c r="D611" s="1"/>
      <c r="E611" s="5"/>
      <c r="F611" s="5"/>
    </row>
    <row r="612">
      <c r="D612" s="1"/>
      <c r="E612" s="5"/>
      <c r="F612" s="5"/>
    </row>
    <row r="613">
      <c r="D613" s="1"/>
      <c r="E613" s="5"/>
      <c r="F613" s="5"/>
    </row>
    <row r="614">
      <c r="D614" s="1"/>
      <c r="E614" s="5"/>
      <c r="F614" s="5"/>
    </row>
    <row r="615">
      <c r="D615" s="1"/>
      <c r="E615" s="5"/>
      <c r="F615" s="5"/>
    </row>
    <row r="616">
      <c r="D616" s="1"/>
      <c r="E616" s="5"/>
      <c r="F616" s="5"/>
    </row>
    <row r="617">
      <c r="D617" s="1"/>
      <c r="E617" s="5"/>
      <c r="F617" s="5"/>
    </row>
    <row r="618">
      <c r="D618" s="1"/>
      <c r="E618" s="5"/>
      <c r="F618" s="5"/>
    </row>
    <row r="619">
      <c r="D619" s="1"/>
      <c r="E619" s="5"/>
      <c r="F619" s="5"/>
    </row>
    <row r="620">
      <c r="D620" s="1"/>
      <c r="E620" s="5"/>
      <c r="F620" s="5"/>
    </row>
    <row r="621">
      <c r="D621" s="1"/>
      <c r="E621" s="5"/>
      <c r="F621" s="5"/>
    </row>
    <row r="622">
      <c r="D622" s="1"/>
      <c r="E622" s="5"/>
      <c r="F622" s="5"/>
    </row>
    <row r="623">
      <c r="D623" s="1"/>
      <c r="E623" s="5"/>
      <c r="F623" s="5"/>
    </row>
    <row r="624">
      <c r="D624" s="1"/>
      <c r="E624" s="5"/>
      <c r="F624" s="5"/>
    </row>
    <row r="625">
      <c r="D625" s="1"/>
      <c r="E625" s="5"/>
      <c r="F625" s="5"/>
    </row>
    <row r="626">
      <c r="D626" s="1"/>
      <c r="E626" s="5"/>
      <c r="F626" s="5"/>
    </row>
    <row r="627">
      <c r="D627" s="1"/>
      <c r="E627" s="5"/>
      <c r="F627" s="5"/>
    </row>
    <row r="628">
      <c r="D628" s="1"/>
      <c r="E628" s="5"/>
      <c r="F628" s="5"/>
    </row>
    <row r="629">
      <c r="D629" s="1"/>
      <c r="E629" s="5"/>
      <c r="F629" s="5"/>
    </row>
    <row r="630">
      <c r="D630" s="1"/>
      <c r="E630" s="5"/>
      <c r="F630" s="5"/>
    </row>
    <row r="631">
      <c r="D631" s="1"/>
      <c r="E631" s="5"/>
      <c r="F631" s="5"/>
    </row>
    <row r="632">
      <c r="D632" s="1"/>
      <c r="E632" s="5"/>
      <c r="F632" s="5"/>
    </row>
    <row r="633">
      <c r="D633" s="1"/>
      <c r="E633" s="5"/>
      <c r="F633" s="5"/>
    </row>
    <row r="634">
      <c r="D634" s="1"/>
      <c r="E634" s="5"/>
      <c r="F634" s="5"/>
    </row>
    <row r="635">
      <c r="D635" s="1"/>
      <c r="E635" s="5"/>
      <c r="F635" s="5"/>
    </row>
    <row r="636">
      <c r="D636" s="1"/>
      <c r="E636" s="5"/>
      <c r="F636" s="5"/>
    </row>
    <row r="637">
      <c r="D637" s="1"/>
      <c r="E637" s="5"/>
      <c r="F637" s="5"/>
    </row>
    <row r="638">
      <c r="D638" s="1"/>
      <c r="E638" s="5"/>
      <c r="F638" s="5"/>
    </row>
    <row r="639">
      <c r="D639" s="1"/>
      <c r="E639" s="5"/>
      <c r="F639" s="5"/>
    </row>
    <row r="640">
      <c r="D640" s="1"/>
      <c r="E640" s="5"/>
      <c r="F640" s="5"/>
    </row>
    <row r="641">
      <c r="D641" s="1"/>
      <c r="E641" s="5"/>
      <c r="F641" s="5"/>
    </row>
    <row r="642">
      <c r="D642" s="1"/>
      <c r="E642" s="5"/>
      <c r="F642" s="5"/>
    </row>
    <row r="643">
      <c r="D643" s="1"/>
      <c r="E643" s="5"/>
      <c r="F643" s="5"/>
    </row>
    <row r="644">
      <c r="D644" s="1"/>
      <c r="E644" s="5"/>
      <c r="F644" s="5"/>
    </row>
    <row r="645">
      <c r="D645" s="1"/>
      <c r="E645" s="5"/>
      <c r="F645" s="5"/>
    </row>
    <row r="646">
      <c r="D646" s="1"/>
      <c r="E646" s="5"/>
      <c r="F646" s="5"/>
    </row>
    <row r="647">
      <c r="D647" s="1"/>
      <c r="E647" s="5"/>
      <c r="F647" s="5"/>
    </row>
    <row r="648">
      <c r="D648" s="1"/>
      <c r="E648" s="5"/>
      <c r="F648" s="5"/>
    </row>
    <row r="649">
      <c r="D649" s="1"/>
      <c r="E649" s="5"/>
      <c r="F649" s="5"/>
    </row>
    <row r="650">
      <c r="D650" s="1"/>
      <c r="E650" s="5"/>
      <c r="F650" s="5"/>
    </row>
    <row r="651">
      <c r="D651" s="1"/>
      <c r="E651" s="5"/>
      <c r="F651" s="5"/>
    </row>
    <row r="652">
      <c r="D652" s="1"/>
      <c r="E652" s="5"/>
      <c r="F652" s="5"/>
    </row>
    <row r="653">
      <c r="D653" s="1"/>
      <c r="E653" s="5"/>
      <c r="F653" s="5"/>
    </row>
    <row r="654">
      <c r="D654" s="1"/>
      <c r="E654" s="5"/>
      <c r="F654" s="5"/>
    </row>
    <row r="655">
      <c r="D655" s="1"/>
      <c r="E655" s="5"/>
      <c r="F655" s="5"/>
    </row>
    <row r="656">
      <c r="D656" s="1"/>
      <c r="E656" s="5"/>
      <c r="F656" s="5"/>
    </row>
    <row r="657">
      <c r="D657" s="1"/>
      <c r="E657" s="5"/>
      <c r="F657" s="5"/>
    </row>
    <row r="658">
      <c r="D658" s="1"/>
      <c r="E658" s="5"/>
      <c r="F658" s="5"/>
    </row>
    <row r="659">
      <c r="D659" s="1"/>
      <c r="E659" s="5"/>
      <c r="F659" s="5"/>
    </row>
    <row r="660">
      <c r="D660" s="1"/>
      <c r="E660" s="5"/>
      <c r="F660" s="5"/>
    </row>
    <row r="661">
      <c r="D661" s="1"/>
      <c r="E661" s="5"/>
      <c r="F661" s="5"/>
    </row>
    <row r="662">
      <c r="D662" s="1"/>
      <c r="E662" s="5"/>
      <c r="F662" s="5"/>
    </row>
    <row r="663">
      <c r="D663" s="1"/>
      <c r="E663" s="5"/>
      <c r="F663" s="5"/>
    </row>
    <row r="664">
      <c r="D664" s="1"/>
      <c r="E664" s="5"/>
      <c r="F664" s="5"/>
    </row>
    <row r="665">
      <c r="D665" s="1"/>
      <c r="E665" s="5"/>
      <c r="F665" s="5"/>
    </row>
    <row r="666">
      <c r="D666" s="1"/>
      <c r="E666" s="5"/>
      <c r="F666" s="5"/>
    </row>
    <row r="667">
      <c r="D667" s="1"/>
      <c r="E667" s="5"/>
      <c r="F667" s="5"/>
    </row>
    <row r="668">
      <c r="D668" s="1"/>
      <c r="E668" s="5"/>
      <c r="F668" s="5"/>
    </row>
    <row r="669">
      <c r="D669" s="1"/>
      <c r="E669" s="5"/>
      <c r="F669" s="5"/>
    </row>
    <row r="670">
      <c r="D670" s="1"/>
      <c r="E670" s="5"/>
      <c r="F670" s="5"/>
    </row>
    <row r="671">
      <c r="D671" s="1"/>
      <c r="E671" s="5"/>
      <c r="F671" s="5"/>
    </row>
    <row r="672">
      <c r="D672" s="1"/>
      <c r="E672" s="5"/>
      <c r="F672" s="5"/>
    </row>
    <row r="673">
      <c r="D673" s="1"/>
      <c r="E673" s="5"/>
      <c r="F673" s="5"/>
    </row>
    <row r="674">
      <c r="D674" s="1"/>
      <c r="E674" s="5"/>
      <c r="F674" s="5"/>
    </row>
    <row r="675">
      <c r="D675" s="1"/>
      <c r="E675" s="5"/>
      <c r="F675" s="5"/>
    </row>
    <row r="676">
      <c r="D676" s="1"/>
      <c r="E676" s="5"/>
      <c r="F676" s="5"/>
    </row>
    <row r="677">
      <c r="D677" s="1"/>
      <c r="E677" s="5"/>
      <c r="F677" s="5"/>
    </row>
    <row r="678">
      <c r="D678" s="1"/>
      <c r="E678" s="5"/>
      <c r="F678" s="5"/>
    </row>
    <row r="679">
      <c r="D679" s="1"/>
      <c r="E679" s="5"/>
      <c r="F679" s="5"/>
    </row>
    <row r="680">
      <c r="D680" s="1"/>
      <c r="E680" s="5"/>
      <c r="F680" s="5"/>
    </row>
    <row r="681">
      <c r="D681" s="1"/>
      <c r="E681" s="5"/>
      <c r="F681" s="5"/>
    </row>
    <row r="682">
      <c r="D682" s="1"/>
      <c r="E682" s="5"/>
      <c r="F682" s="5"/>
    </row>
    <row r="683">
      <c r="D683" s="1"/>
      <c r="E683" s="5"/>
      <c r="F683" s="5"/>
    </row>
    <row r="684">
      <c r="D684" s="1"/>
      <c r="E684" s="5"/>
      <c r="F684" s="5"/>
    </row>
    <row r="685">
      <c r="D685" s="1"/>
      <c r="E685" s="5"/>
      <c r="F685" s="5"/>
    </row>
    <row r="686">
      <c r="D686" s="1"/>
      <c r="E686" s="5"/>
      <c r="F686" s="5"/>
    </row>
    <row r="687">
      <c r="D687" s="1"/>
      <c r="E687" s="5"/>
      <c r="F687" s="5"/>
    </row>
    <row r="688">
      <c r="D688" s="1"/>
      <c r="E688" s="5"/>
      <c r="F688" s="5"/>
    </row>
    <row r="689">
      <c r="D689" s="1"/>
      <c r="E689" s="5"/>
      <c r="F689" s="5"/>
    </row>
    <row r="690">
      <c r="D690" s="1"/>
      <c r="E690" s="5"/>
      <c r="F690" s="5"/>
    </row>
    <row r="691">
      <c r="D691" s="1"/>
      <c r="E691" s="5"/>
      <c r="F691" s="5"/>
    </row>
    <row r="692">
      <c r="D692" s="1"/>
      <c r="E692" s="5"/>
      <c r="F692" s="5"/>
    </row>
    <row r="693">
      <c r="D693" s="1"/>
      <c r="E693" s="5"/>
      <c r="F693" s="5"/>
    </row>
    <row r="694">
      <c r="D694" s="1"/>
      <c r="E694" s="5"/>
      <c r="F694" s="5"/>
    </row>
    <row r="695">
      <c r="D695" s="1"/>
      <c r="E695" s="5"/>
      <c r="F695" s="5"/>
    </row>
    <row r="696">
      <c r="D696" s="1"/>
      <c r="E696" s="5"/>
      <c r="F696" s="5"/>
    </row>
    <row r="697">
      <c r="D697" s="1"/>
      <c r="E697" s="5"/>
      <c r="F697" s="5"/>
    </row>
    <row r="698">
      <c r="D698" s="1"/>
      <c r="E698" s="5"/>
      <c r="F698" s="5"/>
    </row>
    <row r="699">
      <c r="D699" s="1"/>
      <c r="E699" s="5"/>
      <c r="F699" s="5"/>
    </row>
    <row r="700">
      <c r="D700" s="1"/>
      <c r="E700" s="5"/>
      <c r="F700" s="5"/>
    </row>
    <row r="701">
      <c r="D701" s="1"/>
      <c r="E701" s="5"/>
      <c r="F701" s="5"/>
    </row>
    <row r="702">
      <c r="D702" s="1"/>
      <c r="E702" s="5"/>
      <c r="F702" s="5"/>
    </row>
    <row r="703">
      <c r="D703" s="1"/>
      <c r="E703" s="5"/>
      <c r="F703" s="5"/>
    </row>
    <row r="704">
      <c r="D704" s="1"/>
      <c r="E704" s="5"/>
      <c r="F704" s="5"/>
    </row>
    <row r="705">
      <c r="D705" s="1"/>
      <c r="E705" s="5"/>
      <c r="F705" s="5"/>
    </row>
    <row r="706">
      <c r="D706" s="1"/>
      <c r="E706" s="5"/>
      <c r="F706" s="5"/>
    </row>
    <row r="707">
      <c r="D707" s="1"/>
      <c r="E707" s="5"/>
      <c r="F707" s="5"/>
    </row>
    <row r="708">
      <c r="D708" s="1"/>
      <c r="E708" s="5"/>
      <c r="F708" s="5"/>
    </row>
    <row r="709">
      <c r="D709" s="1"/>
      <c r="E709" s="5"/>
      <c r="F709" s="5"/>
    </row>
    <row r="710">
      <c r="D710" s="1"/>
      <c r="E710" s="5"/>
      <c r="F710" s="5"/>
    </row>
    <row r="711">
      <c r="D711" s="1"/>
      <c r="E711" s="5"/>
      <c r="F711" s="5"/>
    </row>
    <row r="712">
      <c r="D712" s="1"/>
      <c r="E712" s="5"/>
      <c r="F712" s="5"/>
    </row>
    <row r="713">
      <c r="D713" s="1"/>
      <c r="E713" s="5"/>
      <c r="F713" s="5"/>
    </row>
    <row r="714">
      <c r="D714" s="1"/>
      <c r="E714" s="5"/>
      <c r="F714" s="5"/>
    </row>
    <row r="715">
      <c r="D715" s="1"/>
      <c r="E715" s="5"/>
      <c r="F715" s="5"/>
    </row>
    <row r="716">
      <c r="D716" s="1"/>
      <c r="E716" s="5"/>
      <c r="F716" s="5"/>
    </row>
    <row r="717">
      <c r="D717" s="1"/>
      <c r="E717" s="5"/>
      <c r="F717" s="5"/>
    </row>
    <row r="718">
      <c r="D718" s="1"/>
      <c r="E718" s="5"/>
      <c r="F718" s="5"/>
    </row>
    <row r="719">
      <c r="D719" s="1"/>
      <c r="E719" s="5"/>
      <c r="F719" s="5"/>
    </row>
    <row r="720">
      <c r="D720" s="1"/>
      <c r="E720" s="5"/>
      <c r="F720" s="5"/>
    </row>
    <row r="721">
      <c r="D721" s="1"/>
      <c r="E721" s="5"/>
      <c r="F721" s="5"/>
    </row>
    <row r="722">
      <c r="D722" s="1"/>
      <c r="E722" s="5"/>
      <c r="F722" s="5"/>
    </row>
    <row r="723">
      <c r="D723" s="1"/>
      <c r="E723" s="5"/>
      <c r="F723" s="5"/>
    </row>
    <row r="724">
      <c r="D724" s="1"/>
      <c r="E724" s="5"/>
      <c r="F724" s="5"/>
    </row>
    <row r="725">
      <c r="D725" s="1"/>
      <c r="E725" s="5"/>
      <c r="F725" s="5"/>
    </row>
    <row r="726">
      <c r="D726" s="1"/>
      <c r="E726" s="5"/>
      <c r="F726" s="5"/>
    </row>
    <row r="727">
      <c r="D727" s="1"/>
      <c r="E727" s="5"/>
      <c r="F727" s="5"/>
    </row>
    <row r="728">
      <c r="D728" s="1"/>
      <c r="E728" s="5"/>
      <c r="F728" s="5"/>
    </row>
    <row r="729">
      <c r="D729" s="1"/>
      <c r="E729" s="5"/>
      <c r="F729" s="5"/>
    </row>
    <row r="730">
      <c r="D730" s="1"/>
      <c r="E730" s="5"/>
      <c r="F730" s="5"/>
    </row>
    <row r="731">
      <c r="D731" s="1"/>
      <c r="E731" s="5"/>
      <c r="F731" s="5"/>
    </row>
    <row r="732">
      <c r="D732" s="1"/>
      <c r="E732" s="5"/>
      <c r="F732" s="5"/>
    </row>
    <row r="733">
      <c r="D733" s="1"/>
      <c r="E733" s="5"/>
      <c r="F733" s="5"/>
    </row>
    <row r="734">
      <c r="D734" s="1"/>
      <c r="E734" s="5"/>
      <c r="F734" s="5"/>
    </row>
    <row r="735">
      <c r="D735" s="1"/>
      <c r="E735" s="5"/>
      <c r="F735" s="5"/>
    </row>
    <row r="736">
      <c r="D736" s="1"/>
      <c r="E736" s="5"/>
      <c r="F736" s="5"/>
    </row>
    <row r="737">
      <c r="D737" s="1"/>
      <c r="E737" s="5"/>
      <c r="F737" s="5"/>
    </row>
    <row r="738">
      <c r="D738" s="1"/>
      <c r="E738" s="5"/>
      <c r="F738" s="5"/>
    </row>
    <row r="739">
      <c r="D739" s="1"/>
      <c r="E739" s="5"/>
      <c r="F739" s="5"/>
    </row>
    <row r="740">
      <c r="D740" s="1"/>
      <c r="E740" s="5"/>
      <c r="F740" s="5"/>
    </row>
    <row r="741">
      <c r="D741" s="1"/>
      <c r="E741" s="5"/>
      <c r="F741" s="5"/>
    </row>
    <row r="742">
      <c r="D742" s="1"/>
      <c r="E742" s="5"/>
      <c r="F742" s="5"/>
    </row>
    <row r="743">
      <c r="D743" s="1"/>
      <c r="E743" s="5"/>
      <c r="F743" s="5"/>
    </row>
    <row r="744">
      <c r="D744" s="1"/>
      <c r="E744" s="5"/>
      <c r="F744" s="5"/>
    </row>
    <row r="745">
      <c r="D745" s="1"/>
      <c r="E745" s="5"/>
      <c r="F745" s="5"/>
    </row>
    <row r="746">
      <c r="D746" s="1"/>
      <c r="E746" s="5"/>
      <c r="F746" s="5"/>
    </row>
    <row r="747">
      <c r="D747" s="1"/>
      <c r="E747" s="5"/>
      <c r="F747" s="5"/>
    </row>
    <row r="748">
      <c r="D748" s="1"/>
      <c r="E748" s="5"/>
      <c r="F748" s="5"/>
    </row>
    <row r="749">
      <c r="D749" s="1"/>
      <c r="E749" s="5"/>
      <c r="F749" s="5"/>
    </row>
    <row r="750">
      <c r="D750" s="1"/>
      <c r="E750" s="5"/>
      <c r="F750" s="5"/>
    </row>
    <row r="751">
      <c r="D751" s="1"/>
      <c r="E751" s="5"/>
      <c r="F751" s="5"/>
    </row>
    <row r="752">
      <c r="D752" s="1"/>
      <c r="E752" s="5"/>
      <c r="F752" s="5"/>
    </row>
    <row r="753">
      <c r="D753" s="1"/>
      <c r="E753" s="5"/>
      <c r="F753" s="5"/>
    </row>
    <row r="754">
      <c r="D754" s="1"/>
      <c r="E754" s="5"/>
      <c r="F754" s="5"/>
    </row>
    <row r="755">
      <c r="D755" s="1"/>
      <c r="E755" s="5"/>
      <c r="F755" s="5"/>
    </row>
    <row r="756">
      <c r="D756" s="1"/>
      <c r="E756" s="5"/>
      <c r="F756" s="5"/>
    </row>
    <row r="757">
      <c r="D757" s="1"/>
      <c r="E757" s="5"/>
      <c r="F757" s="5"/>
    </row>
    <row r="758">
      <c r="D758" s="1"/>
      <c r="E758" s="5"/>
      <c r="F758" s="5"/>
    </row>
    <row r="759">
      <c r="D759" s="1"/>
      <c r="E759" s="5"/>
      <c r="F759" s="5"/>
    </row>
    <row r="760">
      <c r="D760" s="1"/>
      <c r="E760" s="5"/>
      <c r="F760" s="5"/>
    </row>
    <row r="761">
      <c r="D761" s="1"/>
      <c r="E761" s="5"/>
      <c r="F761" s="5"/>
    </row>
    <row r="762">
      <c r="D762" s="1"/>
      <c r="E762" s="5"/>
      <c r="F762" s="5"/>
    </row>
    <row r="763">
      <c r="D763" s="1"/>
      <c r="E763" s="5"/>
      <c r="F763" s="5"/>
    </row>
    <row r="764">
      <c r="D764" s="1"/>
      <c r="E764" s="5"/>
      <c r="F764" s="5"/>
    </row>
    <row r="765">
      <c r="D765" s="1"/>
      <c r="E765" s="5"/>
      <c r="F765" s="5"/>
    </row>
    <row r="766">
      <c r="D766" s="1"/>
      <c r="E766" s="5"/>
      <c r="F766" s="5"/>
    </row>
    <row r="767">
      <c r="D767" s="1"/>
      <c r="E767" s="5"/>
      <c r="F767" s="5"/>
    </row>
    <row r="768">
      <c r="D768" s="1"/>
      <c r="E768" s="5"/>
      <c r="F768" s="5"/>
    </row>
    <row r="769">
      <c r="D769" s="1"/>
      <c r="E769" s="5"/>
      <c r="F769" s="5"/>
    </row>
    <row r="770">
      <c r="D770" s="1"/>
      <c r="E770" s="5"/>
      <c r="F770" s="5"/>
    </row>
    <row r="771">
      <c r="D771" s="1"/>
      <c r="E771" s="5"/>
      <c r="F771" s="5"/>
    </row>
    <row r="772">
      <c r="D772" s="1"/>
      <c r="E772" s="5"/>
      <c r="F772" s="5"/>
    </row>
    <row r="773">
      <c r="D773" s="1"/>
      <c r="E773" s="5"/>
      <c r="F773" s="5"/>
    </row>
    <row r="774">
      <c r="D774" s="1"/>
      <c r="E774" s="5"/>
      <c r="F774" s="5"/>
    </row>
    <row r="775">
      <c r="D775" s="1"/>
      <c r="E775" s="5"/>
      <c r="F775" s="5"/>
    </row>
    <row r="776">
      <c r="D776" s="1"/>
      <c r="E776" s="5"/>
      <c r="F776" s="5"/>
    </row>
    <row r="777">
      <c r="D777" s="1"/>
      <c r="E777" s="5"/>
      <c r="F777" s="5"/>
    </row>
    <row r="778">
      <c r="D778" s="1"/>
      <c r="E778" s="5"/>
      <c r="F778" s="5"/>
    </row>
    <row r="779">
      <c r="D779" s="1"/>
      <c r="E779" s="5"/>
      <c r="F779" s="5"/>
    </row>
    <row r="780">
      <c r="D780" s="1"/>
      <c r="E780" s="5"/>
      <c r="F780" s="5"/>
    </row>
    <row r="781">
      <c r="D781" s="1"/>
      <c r="E781" s="5"/>
      <c r="F781" s="5"/>
    </row>
    <row r="782">
      <c r="D782" s="1"/>
      <c r="E782" s="5"/>
      <c r="F782" s="5"/>
    </row>
    <row r="783">
      <c r="D783" s="1"/>
      <c r="E783" s="5"/>
      <c r="F783" s="5"/>
    </row>
    <row r="784">
      <c r="D784" s="1"/>
      <c r="E784" s="5"/>
      <c r="F784" s="5"/>
    </row>
    <row r="785">
      <c r="D785" s="1"/>
      <c r="E785" s="5"/>
      <c r="F785" s="5"/>
    </row>
    <row r="786">
      <c r="D786" s="1"/>
      <c r="E786" s="5"/>
      <c r="F786" s="5"/>
    </row>
    <row r="787">
      <c r="D787" s="1"/>
      <c r="E787" s="5"/>
      <c r="F787" s="5"/>
    </row>
    <row r="788">
      <c r="D788" s="1"/>
      <c r="E788" s="5"/>
      <c r="F788" s="5"/>
    </row>
    <row r="789">
      <c r="D789" s="1"/>
      <c r="E789" s="5"/>
      <c r="F789" s="5"/>
    </row>
    <row r="790">
      <c r="D790" s="1"/>
      <c r="E790" s="5"/>
      <c r="F790" s="5"/>
    </row>
    <row r="791">
      <c r="D791" s="1"/>
      <c r="E791" s="5"/>
      <c r="F791" s="5"/>
    </row>
    <row r="792">
      <c r="D792" s="1"/>
      <c r="E792" s="5"/>
      <c r="F792" s="5"/>
    </row>
    <row r="793">
      <c r="D793" s="1"/>
      <c r="E793" s="5"/>
      <c r="F793" s="5"/>
    </row>
    <row r="794">
      <c r="D794" s="1"/>
      <c r="E794" s="5"/>
      <c r="F794" s="5"/>
    </row>
    <row r="795">
      <c r="D795" s="1"/>
      <c r="E795" s="5"/>
      <c r="F795" s="5"/>
    </row>
    <row r="796">
      <c r="D796" s="1"/>
      <c r="E796" s="5"/>
      <c r="F796" s="5"/>
    </row>
    <row r="797">
      <c r="D797" s="1"/>
      <c r="E797" s="5"/>
      <c r="F797" s="5"/>
    </row>
    <row r="798">
      <c r="D798" s="1"/>
      <c r="E798" s="5"/>
      <c r="F798" s="5"/>
    </row>
    <row r="799">
      <c r="D799" s="1"/>
      <c r="E799" s="5"/>
      <c r="F799" s="5"/>
    </row>
    <row r="800">
      <c r="D800" s="1"/>
      <c r="E800" s="5"/>
      <c r="F800" s="5"/>
    </row>
    <row r="801">
      <c r="D801" s="1"/>
      <c r="E801" s="5"/>
      <c r="F801" s="5"/>
    </row>
    <row r="802">
      <c r="D802" s="1"/>
      <c r="E802" s="5"/>
      <c r="F802" s="5"/>
    </row>
    <row r="803">
      <c r="D803" s="1"/>
      <c r="E803" s="5"/>
      <c r="F803" s="5"/>
    </row>
    <row r="804">
      <c r="D804" s="1"/>
      <c r="E804" s="5"/>
      <c r="F804" s="5"/>
    </row>
    <row r="805">
      <c r="D805" s="1"/>
      <c r="E805" s="5"/>
      <c r="F805" s="5"/>
    </row>
    <row r="806">
      <c r="D806" s="1"/>
      <c r="E806" s="5"/>
      <c r="F806" s="5"/>
    </row>
    <row r="807">
      <c r="D807" s="1"/>
      <c r="E807" s="5"/>
      <c r="F807" s="5"/>
    </row>
    <row r="808">
      <c r="D808" s="1"/>
      <c r="E808" s="5"/>
      <c r="F808" s="5"/>
    </row>
    <row r="809">
      <c r="D809" s="1"/>
      <c r="E809" s="5"/>
      <c r="F809" s="5"/>
    </row>
    <row r="810">
      <c r="D810" s="1"/>
      <c r="E810" s="5"/>
      <c r="F810" s="5"/>
    </row>
    <row r="811">
      <c r="D811" s="1"/>
      <c r="E811" s="5"/>
      <c r="F811" s="5"/>
    </row>
    <row r="812">
      <c r="D812" s="1"/>
      <c r="E812" s="5"/>
      <c r="F812" s="5"/>
    </row>
    <row r="813">
      <c r="D813" s="1"/>
      <c r="E813" s="5"/>
      <c r="F813" s="5"/>
    </row>
    <row r="814">
      <c r="D814" s="1"/>
      <c r="E814" s="5"/>
      <c r="F814" s="5"/>
    </row>
    <row r="815">
      <c r="D815" s="1"/>
      <c r="E815" s="5"/>
      <c r="F815" s="5"/>
    </row>
    <row r="816">
      <c r="D816" s="1"/>
      <c r="E816" s="5"/>
      <c r="F816" s="5"/>
    </row>
    <row r="817">
      <c r="D817" s="1"/>
      <c r="E817" s="5"/>
      <c r="F817" s="5"/>
    </row>
    <row r="818">
      <c r="D818" s="1"/>
      <c r="E818" s="5"/>
      <c r="F818" s="5"/>
    </row>
    <row r="819">
      <c r="D819" s="1"/>
      <c r="E819" s="5"/>
      <c r="F819" s="5"/>
    </row>
    <row r="820">
      <c r="D820" s="1"/>
      <c r="E820" s="5"/>
      <c r="F820" s="5"/>
    </row>
    <row r="821">
      <c r="D821" s="1"/>
      <c r="E821" s="5"/>
      <c r="F821" s="5"/>
    </row>
    <row r="822">
      <c r="D822" s="1"/>
      <c r="E822" s="5"/>
      <c r="F822" s="5"/>
    </row>
    <row r="823">
      <c r="D823" s="1"/>
      <c r="E823" s="5"/>
      <c r="F823" s="5"/>
    </row>
    <row r="824">
      <c r="D824" s="1"/>
      <c r="E824" s="5"/>
      <c r="F824" s="5"/>
    </row>
    <row r="825">
      <c r="D825" s="1"/>
      <c r="E825" s="5"/>
      <c r="F825" s="5"/>
    </row>
    <row r="826">
      <c r="D826" s="1"/>
      <c r="E826" s="5"/>
      <c r="F826" s="5"/>
    </row>
    <row r="827">
      <c r="D827" s="1"/>
      <c r="E827" s="5"/>
      <c r="F827" s="5"/>
    </row>
    <row r="828">
      <c r="D828" s="1"/>
      <c r="E828" s="5"/>
      <c r="F828" s="5"/>
    </row>
    <row r="829">
      <c r="D829" s="1"/>
      <c r="E829" s="5"/>
      <c r="F829" s="5"/>
    </row>
    <row r="830">
      <c r="D830" s="1"/>
      <c r="E830" s="5"/>
      <c r="F830" s="5"/>
    </row>
    <row r="831">
      <c r="D831" s="1"/>
      <c r="E831" s="5"/>
      <c r="F831" s="5"/>
    </row>
    <row r="832">
      <c r="D832" s="1"/>
      <c r="E832" s="5"/>
      <c r="F832" s="5"/>
    </row>
    <row r="833">
      <c r="D833" s="1"/>
      <c r="E833" s="5"/>
      <c r="F833" s="5"/>
    </row>
    <row r="834">
      <c r="D834" s="1"/>
      <c r="E834" s="5"/>
      <c r="F834" s="5"/>
    </row>
    <row r="835">
      <c r="D835" s="1"/>
      <c r="E835" s="5"/>
      <c r="F835" s="5"/>
    </row>
    <row r="836">
      <c r="D836" s="1"/>
      <c r="E836" s="5"/>
      <c r="F836" s="5"/>
    </row>
    <row r="837">
      <c r="D837" s="1"/>
      <c r="E837" s="5"/>
      <c r="F837" s="5"/>
    </row>
    <row r="838">
      <c r="D838" s="1"/>
      <c r="E838" s="5"/>
      <c r="F838" s="5"/>
    </row>
    <row r="839">
      <c r="D839" s="1"/>
      <c r="E839" s="5"/>
      <c r="F839" s="5"/>
    </row>
    <row r="840">
      <c r="D840" s="1"/>
      <c r="E840" s="5"/>
      <c r="F840" s="5"/>
    </row>
    <row r="841">
      <c r="D841" s="1"/>
      <c r="E841" s="5"/>
      <c r="F841" s="5"/>
    </row>
    <row r="842">
      <c r="D842" s="1"/>
      <c r="E842" s="5"/>
      <c r="F842" s="5"/>
    </row>
    <row r="843">
      <c r="D843" s="1"/>
      <c r="E843" s="5"/>
      <c r="F843" s="5"/>
    </row>
    <row r="844">
      <c r="D844" s="1"/>
      <c r="E844" s="5"/>
      <c r="F844" s="5"/>
    </row>
    <row r="845">
      <c r="D845" s="1"/>
      <c r="E845" s="5"/>
      <c r="F845" s="5"/>
    </row>
    <row r="846">
      <c r="D846" s="1"/>
      <c r="E846" s="5"/>
      <c r="F846" s="5"/>
    </row>
    <row r="847">
      <c r="D847" s="1"/>
      <c r="E847" s="5"/>
      <c r="F847" s="5"/>
    </row>
    <row r="848">
      <c r="D848" s="1"/>
      <c r="E848" s="5"/>
      <c r="F848" s="5"/>
    </row>
    <row r="849">
      <c r="D849" s="1"/>
      <c r="E849" s="5"/>
      <c r="F849" s="5"/>
    </row>
    <row r="850">
      <c r="D850" s="1"/>
      <c r="E850" s="5"/>
      <c r="F850" s="5"/>
    </row>
    <row r="851">
      <c r="D851" s="1"/>
      <c r="E851" s="5"/>
      <c r="F851" s="5"/>
    </row>
    <row r="852">
      <c r="D852" s="1"/>
      <c r="E852" s="5"/>
      <c r="F852" s="5"/>
    </row>
    <row r="853">
      <c r="D853" s="1"/>
      <c r="E853" s="5"/>
      <c r="F853" s="5"/>
    </row>
    <row r="854">
      <c r="D854" s="1"/>
      <c r="E854" s="5"/>
      <c r="F854" s="5"/>
    </row>
    <row r="855">
      <c r="D855" s="1"/>
      <c r="E855" s="5"/>
      <c r="F855" s="5"/>
    </row>
    <row r="856">
      <c r="D856" s="1"/>
      <c r="E856" s="5"/>
      <c r="F856" s="5"/>
    </row>
    <row r="857">
      <c r="D857" s="1"/>
      <c r="E857" s="5"/>
      <c r="F857" s="5"/>
    </row>
    <row r="858">
      <c r="D858" s="1"/>
      <c r="E858" s="5"/>
      <c r="F858" s="5"/>
    </row>
    <row r="859">
      <c r="D859" s="1"/>
      <c r="E859" s="5"/>
      <c r="F859" s="5"/>
    </row>
    <row r="860">
      <c r="D860" s="1"/>
      <c r="E860" s="5"/>
      <c r="F860" s="5"/>
    </row>
    <row r="861">
      <c r="D861" s="1"/>
      <c r="E861" s="5"/>
      <c r="F861" s="5"/>
    </row>
    <row r="862">
      <c r="D862" s="1"/>
      <c r="E862" s="5"/>
      <c r="F862" s="5"/>
    </row>
    <row r="863">
      <c r="D863" s="1"/>
      <c r="E863" s="5"/>
      <c r="F863" s="5"/>
    </row>
    <row r="864">
      <c r="D864" s="1"/>
      <c r="E864" s="5"/>
      <c r="F864" s="5"/>
    </row>
    <row r="865">
      <c r="D865" s="1"/>
      <c r="E865" s="5"/>
      <c r="F865" s="5"/>
    </row>
    <row r="866">
      <c r="D866" s="1"/>
      <c r="E866" s="5"/>
      <c r="F866" s="5"/>
    </row>
    <row r="867">
      <c r="D867" s="1"/>
      <c r="E867" s="5"/>
      <c r="F867" s="5"/>
    </row>
    <row r="868">
      <c r="D868" s="1"/>
      <c r="E868" s="5"/>
      <c r="F868" s="5"/>
    </row>
    <row r="869">
      <c r="D869" s="1"/>
      <c r="E869" s="5"/>
      <c r="F869" s="5"/>
    </row>
    <row r="870">
      <c r="D870" s="1"/>
      <c r="E870" s="5"/>
      <c r="F870" s="5"/>
    </row>
    <row r="871">
      <c r="D871" s="1"/>
      <c r="E871" s="5"/>
      <c r="F871" s="5"/>
    </row>
    <row r="872">
      <c r="D872" s="1"/>
      <c r="E872" s="5"/>
      <c r="F872" s="5"/>
    </row>
    <row r="873">
      <c r="D873" s="1"/>
      <c r="E873" s="5"/>
      <c r="F873" s="5"/>
    </row>
    <row r="874">
      <c r="D874" s="1"/>
      <c r="E874" s="5"/>
      <c r="F874" s="5"/>
    </row>
    <row r="875">
      <c r="D875" s="1"/>
      <c r="E875" s="5"/>
      <c r="F875" s="5"/>
    </row>
    <row r="876">
      <c r="D876" s="1"/>
      <c r="E876" s="5"/>
      <c r="F876" s="5"/>
    </row>
    <row r="877">
      <c r="D877" s="1"/>
      <c r="E877" s="5"/>
      <c r="F877" s="5"/>
    </row>
    <row r="878">
      <c r="D878" s="1"/>
      <c r="E878" s="5"/>
      <c r="F878" s="5"/>
    </row>
    <row r="879">
      <c r="D879" s="1"/>
      <c r="E879" s="5"/>
      <c r="F879" s="5"/>
    </row>
    <row r="880">
      <c r="D880" s="1"/>
      <c r="E880" s="5"/>
      <c r="F880" s="5"/>
    </row>
    <row r="881">
      <c r="D881" s="1"/>
      <c r="E881" s="5"/>
      <c r="F881" s="5"/>
    </row>
    <row r="882">
      <c r="D882" s="1"/>
      <c r="E882" s="5"/>
      <c r="F882" s="5"/>
    </row>
    <row r="883">
      <c r="D883" s="1"/>
      <c r="E883" s="5"/>
      <c r="F883" s="5"/>
    </row>
    <row r="884">
      <c r="D884" s="1"/>
      <c r="E884" s="5"/>
      <c r="F884" s="5"/>
    </row>
    <row r="885">
      <c r="D885" s="1"/>
      <c r="E885" s="5"/>
      <c r="F885" s="5"/>
    </row>
    <row r="886">
      <c r="D886" s="1"/>
      <c r="E886" s="5"/>
      <c r="F886" s="5"/>
    </row>
    <row r="887">
      <c r="D887" s="1"/>
      <c r="E887" s="5"/>
      <c r="F887" s="5"/>
    </row>
    <row r="888">
      <c r="D888" s="1"/>
      <c r="E888" s="5"/>
      <c r="F888" s="5"/>
    </row>
    <row r="889">
      <c r="D889" s="1"/>
      <c r="E889" s="5"/>
      <c r="F889" s="5"/>
    </row>
    <row r="890">
      <c r="D890" s="1"/>
      <c r="E890" s="5"/>
      <c r="F890" s="5"/>
    </row>
    <row r="891">
      <c r="D891" s="1"/>
      <c r="E891" s="5"/>
      <c r="F891" s="5"/>
    </row>
    <row r="892">
      <c r="D892" s="1"/>
      <c r="E892" s="5"/>
      <c r="F892" s="5"/>
    </row>
    <row r="893">
      <c r="D893" s="1"/>
      <c r="E893" s="5"/>
      <c r="F893" s="5"/>
    </row>
    <row r="894">
      <c r="D894" s="1"/>
      <c r="E894" s="5"/>
      <c r="F894" s="5"/>
    </row>
    <row r="895">
      <c r="D895" s="1"/>
      <c r="E895" s="5"/>
      <c r="F895" s="5"/>
    </row>
    <row r="896">
      <c r="D896" s="1"/>
      <c r="E896" s="5"/>
      <c r="F896" s="5"/>
    </row>
    <row r="897">
      <c r="D897" s="1"/>
      <c r="E897" s="5"/>
      <c r="F897" s="5"/>
    </row>
    <row r="898">
      <c r="D898" s="1"/>
      <c r="E898" s="5"/>
      <c r="F898" s="5"/>
    </row>
    <row r="899">
      <c r="D899" s="1"/>
      <c r="E899" s="5"/>
      <c r="F899" s="5"/>
    </row>
    <row r="900">
      <c r="D900" s="1"/>
      <c r="E900" s="5"/>
      <c r="F900" s="5"/>
    </row>
    <row r="901">
      <c r="D901" s="1"/>
      <c r="E901" s="5"/>
      <c r="F901" s="5"/>
    </row>
    <row r="902">
      <c r="D902" s="1"/>
      <c r="E902" s="5"/>
      <c r="F902" s="5"/>
    </row>
    <row r="903">
      <c r="D903" s="1"/>
      <c r="E903" s="5"/>
      <c r="F903" s="5"/>
    </row>
    <row r="904">
      <c r="D904" s="1"/>
      <c r="E904" s="5"/>
      <c r="F904" s="5"/>
    </row>
    <row r="905">
      <c r="D905" s="1"/>
      <c r="E905" s="5"/>
      <c r="F905" s="5"/>
    </row>
    <row r="906">
      <c r="D906" s="1"/>
      <c r="E906" s="5"/>
      <c r="F906" s="5"/>
    </row>
    <row r="907">
      <c r="D907" s="1"/>
      <c r="E907" s="5"/>
      <c r="F907" s="5"/>
    </row>
    <row r="908">
      <c r="D908" s="1"/>
      <c r="E908" s="5"/>
      <c r="F908" s="5"/>
    </row>
    <row r="909">
      <c r="D909" s="1"/>
      <c r="E909" s="5"/>
      <c r="F909" s="5"/>
    </row>
    <row r="910">
      <c r="D910" s="1"/>
      <c r="E910" s="5"/>
      <c r="F910" s="5"/>
    </row>
    <row r="911">
      <c r="D911" s="1"/>
      <c r="E911" s="5"/>
      <c r="F911" s="5"/>
    </row>
    <row r="912">
      <c r="D912" s="1"/>
      <c r="E912" s="5"/>
      <c r="F912" s="5"/>
    </row>
    <row r="913">
      <c r="D913" s="1"/>
      <c r="E913" s="5"/>
      <c r="F913" s="5"/>
    </row>
    <row r="914">
      <c r="D914" s="1"/>
      <c r="E914" s="5"/>
      <c r="F914" s="5"/>
    </row>
    <row r="915">
      <c r="D915" s="1"/>
      <c r="E915" s="5"/>
      <c r="F915" s="5"/>
    </row>
    <row r="916">
      <c r="D916" s="1"/>
      <c r="E916" s="5"/>
      <c r="F916" s="5"/>
    </row>
    <row r="917">
      <c r="D917" s="1"/>
      <c r="E917" s="5"/>
      <c r="F917" s="5"/>
    </row>
    <row r="918">
      <c r="D918" s="1"/>
      <c r="E918" s="5"/>
      <c r="F918" s="5"/>
    </row>
    <row r="919">
      <c r="D919" s="1"/>
      <c r="E919" s="5"/>
      <c r="F919" s="5"/>
    </row>
    <row r="920">
      <c r="D920" s="1"/>
      <c r="E920" s="5"/>
      <c r="F920" s="5"/>
    </row>
    <row r="921">
      <c r="D921" s="1"/>
      <c r="E921" s="5"/>
      <c r="F921" s="5"/>
    </row>
    <row r="922">
      <c r="D922" s="1"/>
      <c r="E922" s="5"/>
      <c r="F922" s="5"/>
    </row>
    <row r="923">
      <c r="D923" s="1"/>
      <c r="E923" s="5"/>
      <c r="F923" s="5"/>
    </row>
    <row r="924">
      <c r="D924" s="1"/>
      <c r="E924" s="5"/>
      <c r="F924" s="5"/>
    </row>
    <row r="925">
      <c r="D925" s="1"/>
      <c r="E925" s="5"/>
      <c r="F925" s="5"/>
    </row>
    <row r="926">
      <c r="D926" s="1"/>
      <c r="E926" s="5"/>
      <c r="F926" s="5"/>
    </row>
    <row r="927">
      <c r="D927" s="1"/>
      <c r="E927" s="5"/>
      <c r="F927" s="5"/>
    </row>
    <row r="928">
      <c r="D928" s="1"/>
      <c r="E928" s="5"/>
      <c r="F928" s="5"/>
    </row>
    <row r="929">
      <c r="D929" s="1"/>
      <c r="E929" s="5"/>
      <c r="F929" s="5"/>
    </row>
    <row r="930">
      <c r="D930" s="1"/>
      <c r="E930" s="5"/>
      <c r="F930" s="5"/>
    </row>
    <row r="931">
      <c r="D931" s="1"/>
      <c r="E931" s="5"/>
      <c r="F931" s="5"/>
    </row>
    <row r="932">
      <c r="D932" s="1"/>
      <c r="E932" s="5"/>
      <c r="F932" s="5"/>
    </row>
    <row r="933">
      <c r="D933" s="1"/>
      <c r="E933" s="5"/>
      <c r="F933" s="5"/>
    </row>
    <row r="934">
      <c r="D934" s="1"/>
      <c r="E934" s="5"/>
      <c r="F934" s="5"/>
    </row>
    <row r="935">
      <c r="D935" s="1"/>
      <c r="E935" s="5"/>
      <c r="F935" s="5"/>
    </row>
    <row r="936">
      <c r="D936" s="1"/>
      <c r="E936" s="5"/>
      <c r="F936" s="5"/>
    </row>
    <row r="937">
      <c r="D937" s="1"/>
      <c r="E937" s="5"/>
      <c r="F937" s="5"/>
    </row>
    <row r="938">
      <c r="D938" s="1"/>
      <c r="E938" s="5"/>
      <c r="F938" s="5"/>
    </row>
    <row r="939">
      <c r="D939" s="1"/>
      <c r="E939" s="5"/>
      <c r="F939" s="5"/>
    </row>
    <row r="940">
      <c r="D940" s="1"/>
      <c r="E940" s="5"/>
      <c r="F940" s="5"/>
    </row>
    <row r="941">
      <c r="D941" s="1"/>
      <c r="E941" s="5"/>
      <c r="F941" s="5"/>
    </row>
    <row r="942">
      <c r="D942" s="1"/>
      <c r="E942" s="5"/>
      <c r="F942" s="5"/>
    </row>
    <row r="943">
      <c r="D943" s="1"/>
      <c r="E943" s="5"/>
      <c r="F943" s="5"/>
    </row>
    <row r="944">
      <c r="D944" s="1"/>
      <c r="E944" s="5"/>
      <c r="F944" s="5"/>
    </row>
    <row r="945">
      <c r="D945" s="1"/>
      <c r="E945" s="5"/>
      <c r="F945" s="5"/>
    </row>
    <row r="946">
      <c r="D946" s="1"/>
      <c r="E946" s="5"/>
      <c r="F946" s="5"/>
    </row>
    <row r="947">
      <c r="D947" s="1"/>
      <c r="E947" s="5"/>
      <c r="F947" s="5"/>
    </row>
    <row r="948">
      <c r="D948" s="1"/>
      <c r="E948" s="5"/>
      <c r="F948" s="5"/>
    </row>
    <row r="949">
      <c r="D949" s="1"/>
      <c r="E949" s="5"/>
      <c r="F949" s="5"/>
    </row>
    <row r="950">
      <c r="D950" s="1"/>
      <c r="E950" s="5"/>
      <c r="F950" s="5"/>
    </row>
    <row r="951">
      <c r="D951" s="1"/>
      <c r="E951" s="5"/>
      <c r="F951" s="5"/>
    </row>
    <row r="952">
      <c r="D952" s="1"/>
      <c r="E952" s="5"/>
      <c r="F952" s="5"/>
    </row>
    <row r="953">
      <c r="D953" s="1"/>
      <c r="E953" s="5"/>
      <c r="F953" s="5"/>
    </row>
    <row r="954">
      <c r="D954" s="1"/>
      <c r="E954" s="5"/>
      <c r="F954" s="5"/>
    </row>
    <row r="955">
      <c r="D955" s="1"/>
      <c r="E955" s="5"/>
      <c r="F955" s="5"/>
    </row>
    <row r="956">
      <c r="D956" s="1"/>
      <c r="E956" s="5"/>
      <c r="F956" s="5"/>
    </row>
    <row r="957">
      <c r="D957" s="1"/>
      <c r="E957" s="5"/>
      <c r="F957" s="5"/>
    </row>
    <row r="958">
      <c r="D958" s="1"/>
      <c r="E958" s="5"/>
      <c r="F958" s="5"/>
    </row>
    <row r="959">
      <c r="D959" s="1"/>
      <c r="E959" s="5"/>
      <c r="F959" s="5"/>
    </row>
    <row r="960">
      <c r="D960" s="1"/>
      <c r="E960" s="5"/>
      <c r="F960" s="5"/>
    </row>
    <row r="961">
      <c r="D961" s="1"/>
      <c r="E961" s="5"/>
      <c r="F961" s="5"/>
    </row>
    <row r="962">
      <c r="D962" s="1"/>
      <c r="E962" s="5"/>
      <c r="F962" s="5"/>
    </row>
    <row r="963">
      <c r="D963" s="1"/>
      <c r="E963" s="5"/>
      <c r="F963" s="5"/>
    </row>
    <row r="964">
      <c r="D964" s="1"/>
      <c r="E964" s="5"/>
      <c r="F964" s="5"/>
    </row>
    <row r="965">
      <c r="D965" s="1"/>
      <c r="E965" s="5"/>
      <c r="F965" s="5"/>
    </row>
    <row r="966">
      <c r="D966" s="1"/>
      <c r="E966" s="5"/>
      <c r="F966" s="5"/>
    </row>
    <row r="967">
      <c r="D967" s="1"/>
      <c r="E967" s="5"/>
      <c r="F967" s="5"/>
    </row>
    <row r="968">
      <c r="D968" s="1"/>
      <c r="E968" s="5"/>
      <c r="F968" s="5"/>
    </row>
    <row r="969">
      <c r="D969" s="1"/>
      <c r="E969" s="5"/>
      <c r="F969" s="5"/>
    </row>
    <row r="970">
      <c r="D970" s="1"/>
      <c r="E970" s="5"/>
      <c r="F970" s="5"/>
    </row>
    <row r="971">
      <c r="D971" s="1"/>
      <c r="E971" s="5"/>
      <c r="F971" s="5"/>
    </row>
    <row r="972">
      <c r="D972" s="1"/>
      <c r="E972" s="5"/>
      <c r="F972" s="5"/>
    </row>
    <row r="973">
      <c r="D973" s="1"/>
      <c r="E973" s="5"/>
      <c r="F973" s="5"/>
    </row>
    <row r="974">
      <c r="D974" s="1"/>
      <c r="E974" s="5"/>
      <c r="F974" s="5"/>
    </row>
    <row r="975">
      <c r="D975" s="1"/>
      <c r="E975" s="5"/>
      <c r="F975" s="5"/>
    </row>
    <row r="976">
      <c r="D976" s="1"/>
      <c r="E976" s="5"/>
      <c r="F976" s="5"/>
    </row>
    <row r="977">
      <c r="D977" s="1"/>
      <c r="E977" s="5"/>
      <c r="F977" s="5"/>
    </row>
    <row r="978">
      <c r="D978" s="1"/>
      <c r="E978" s="5"/>
      <c r="F978" s="5"/>
    </row>
    <row r="979">
      <c r="D979" s="1"/>
      <c r="E979" s="5"/>
      <c r="F979" s="5"/>
    </row>
    <row r="980">
      <c r="D980" s="1"/>
      <c r="E980" s="5"/>
      <c r="F980" s="5"/>
    </row>
    <row r="981">
      <c r="D981" s="1"/>
      <c r="E981" s="5"/>
      <c r="F981" s="5"/>
    </row>
    <row r="982">
      <c r="D982" s="1"/>
      <c r="E982" s="5"/>
      <c r="F982" s="5"/>
    </row>
    <row r="983">
      <c r="D983" s="1"/>
      <c r="E983" s="5"/>
      <c r="F983" s="5"/>
    </row>
    <row r="984">
      <c r="D984" s="1"/>
      <c r="E984" s="5"/>
      <c r="F984" s="5"/>
    </row>
    <row r="985">
      <c r="D985" s="1"/>
      <c r="E985" s="5"/>
      <c r="F985" s="5"/>
    </row>
    <row r="986">
      <c r="D986" s="1"/>
      <c r="E986" s="5"/>
      <c r="F986" s="5"/>
    </row>
    <row r="987">
      <c r="D987" s="1"/>
      <c r="E987" s="5"/>
      <c r="F987" s="5"/>
    </row>
    <row r="988">
      <c r="D988" s="1"/>
      <c r="E988" s="5"/>
      <c r="F988" s="5"/>
    </row>
    <row r="989">
      <c r="D989" s="1"/>
      <c r="E989" s="5"/>
      <c r="F989" s="5"/>
    </row>
    <row r="990">
      <c r="D990" s="1"/>
      <c r="E990" s="5"/>
      <c r="F990" s="5"/>
    </row>
    <row r="991">
      <c r="D991" s="1"/>
      <c r="E991" s="5"/>
      <c r="F991" s="5"/>
    </row>
    <row r="992">
      <c r="D992" s="1"/>
      <c r="E992" s="5"/>
      <c r="F992" s="5"/>
    </row>
    <row r="993">
      <c r="D993" s="1"/>
      <c r="E993" s="5"/>
      <c r="F993" s="5"/>
    </row>
    <row r="994">
      <c r="D994" s="1"/>
      <c r="E994" s="5"/>
      <c r="F994" s="5"/>
    </row>
    <row r="995">
      <c r="D995" s="1"/>
      <c r="E995" s="5"/>
      <c r="F995" s="5"/>
    </row>
    <row r="996">
      <c r="D996" s="1"/>
      <c r="E996" s="5"/>
      <c r="F996" s="5"/>
    </row>
    <row r="997">
      <c r="D997" s="1"/>
      <c r="E997" s="5"/>
      <c r="F997" s="5"/>
    </row>
    <row r="998">
      <c r="D998" s="1"/>
      <c r="E998" s="5"/>
      <c r="F998" s="5"/>
    </row>
    <row r="999">
      <c r="D999" s="1"/>
      <c r="E999" s="5"/>
      <c r="F999" s="5"/>
    </row>
    <row r="1000">
      <c r="D1000" s="1"/>
      <c r="E1000" s="5"/>
      <c r="F1000" s="5"/>
    </row>
    <row r="1001">
      <c r="D1001" s="1"/>
      <c r="E1001" s="5"/>
      <c r="F1001" s="5"/>
    </row>
    <row r="1002">
      <c r="D1002" s="1"/>
      <c r="E1002" s="5"/>
      <c r="F1002" s="5"/>
    </row>
    <row r="1003">
      <c r="D1003" s="1"/>
      <c r="E1003" s="5"/>
      <c r="F1003" s="5"/>
    </row>
    <row r="1004">
      <c r="D1004" s="1"/>
      <c r="E1004" s="5"/>
      <c r="F1004" s="5"/>
    </row>
    <row r="1005">
      <c r="D1005" s="1"/>
      <c r="E1005" s="5"/>
      <c r="F1005" s="5"/>
    </row>
    <row r="1006">
      <c r="D1006" s="1"/>
      <c r="E1006" s="5"/>
      <c r="F1006" s="5"/>
    </row>
    <row r="1007">
      <c r="D1007" s="1"/>
      <c r="E1007" s="5"/>
      <c r="F1007" s="5"/>
    </row>
    <row r="1008">
      <c r="D1008" s="1"/>
      <c r="E1008" s="5"/>
      <c r="F1008" s="5"/>
    </row>
    <row r="1009">
      <c r="D1009" s="1"/>
      <c r="E1009" s="5"/>
      <c r="F1009" s="5"/>
    </row>
    <row r="1010">
      <c r="D1010" s="1"/>
      <c r="E1010" s="5"/>
      <c r="F1010" s="5"/>
    </row>
    <row r="1011">
      <c r="D1011" s="1"/>
      <c r="E1011" s="5"/>
      <c r="F1011" s="5"/>
    </row>
    <row r="1012">
      <c r="D1012" s="1"/>
      <c r="E1012" s="5"/>
      <c r="F1012" s="5"/>
    </row>
    <row r="1013">
      <c r="D1013" s="1"/>
      <c r="E1013" s="5"/>
      <c r="F1013" s="5"/>
    </row>
    <row r="1014">
      <c r="D1014" s="1"/>
      <c r="E1014" s="5"/>
      <c r="F1014" s="5"/>
    </row>
    <row r="1015">
      <c r="D1015" s="1"/>
      <c r="E1015" s="5"/>
      <c r="F1015" s="5"/>
    </row>
    <row r="1016">
      <c r="D1016" s="1"/>
      <c r="E1016" s="5"/>
      <c r="F1016" s="5"/>
    </row>
    <row r="1017">
      <c r="D1017" s="1"/>
      <c r="E1017" s="5"/>
      <c r="F1017" s="5"/>
    </row>
    <row r="1018">
      <c r="D1018" s="1"/>
      <c r="E1018" s="5"/>
      <c r="F1018" s="5"/>
    </row>
    <row r="1019">
      <c r="D1019" s="1"/>
      <c r="E1019" s="5"/>
      <c r="F1019" s="5"/>
    </row>
    <row r="1020">
      <c r="D1020" s="1"/>
      <c r="E1020" s="5"/>
      <c r="F1020" s="5"/>
    </row>
    <row r="1021">
      <c r="D1021" s="1"/>
      <c r="E1021" s="5"/>
      <c r="F1021" s="5"/>
    </row>
    <row r="1022">
      <c r="D1022" s="1"/>
      <c r="E1022" s="5"/>
      <c r="F1022" s="5"/>
    </row>
    <row r="1023">
      <c r="D1023" s="1"/>
      <c r="E1023" s="5"/>
      <c r="F1023" s="5"/>
    </row>
    <row r="1024">
      <c r="D1024" s="1"/>
      <c r="E1024" s="5"/>
      <c r="F1024" s="5"/>
    </row>
    <row r="1025">
      <c r="D1025" s="1"/>
      <c r="E1025" s="5"/>
      <c r="F1025" s="5"/>
    </row>
    <row r="1026">
      <c r="D1026" s="1"/>
      <c r="E1026" s="5"/>
      <c r="F1026" s="5"/>
    </row>
    <row r="1027">
      <c r="D1027" s="1"/>
      <c r="E1027" s="5"/>
      <c r="F1027" s="5"/>
    </row>
    <row r="1028">
      <c r="D1028" s="1"/>
      <c r="E1028" s="5"/>
      <c r="F1028" s="5"/>
    </row>
    <row r="1029">
      <c r="D1029" s="1"/>
      <c r="E1029" s="5"/>
      <c r="F1029" s="5"/>
    </row>
    <row r="1030">
      <c r="D1030" s="1"/>
      <c r="E1030" s="5"/>
      <c r="F1030" s="5"/>
    </row>
    <row r="1031">
      <c r="D1031" s="1"/>
      <c r="E1031" s="5"/>
      <c r="F1031" s="5"/>
    </row>
    <row r="1032">
      <c r="D1032" s="1"/>
      <c r="E1032" s="5"/>
      <c r="F1032" s="5"/>
    </row>
    <row r="1033">
      <c r="D1033" s="1"/>
      <c r="E1033" s="5"/>
      <c r="F1033" s="5"/>
    </row>
    <row r="1034">
      <c r="D1034" s="1"/>
      <c r="E1034" s="5"/>
      <c r="F1034" s="5"/>
    </row>
    <row r="1035">
      <c r="D1035" s="1"/>
      <c r="E1035" s="5"/>
      <c r="F1035" s="5"/>
    </row>
    <row r="1036">
      <c r="D1036" s="1"/>
      <c r="E1036" s="5"/>
      <c r="F1036" s="5"/>
    </row>
    <row r="1037">
      <c r="D1037" s="1"/>
      <c r="E1037" s="5"/>
      <c r="F1037" s="5"/>
    </row>
    <row r="1038">
      <c r="D1038" s="1"/>
      <c r="E1038" s="5"/>
      <c r="F1038" s="5"/>
    </row>
    <row r="1039">
      <c r="D1039" s="1"/>
      <c r="E1039" s="5"/>
      <c r="F1039" s="5"/>
    </row>
    <row r="1040">
      <c r="D1040" s="1"/>
      <c r="E1040" s="5"/>
      <c r="F1040" s="5"/>
    </row>
    <row r="1041">
      <c r="D1041" s="1"/>
      <c r="E1041" s="5"/>
      <c r="F1041" s="5"/>
    </row>
    <row r="1042">
      <c r="D1042" s="1"/>
      <c r="E1042" s="5"/>
      <c r="F1042" s="5"/>
    </row>
    <row r="1043">
      <c r="D1043" s="1"/>
      <c r="E1043" s="5"/>
      <c r="F1043" s="5"/>
    </row>
    <row r="1044">
      <c r="D1044" s="1"/>
      <c r="E1044" s="5"/>
      <c r="F1044" s="5"/>
    </row>
    <row r="1045">
      <c r="D1045" s="1"/>
      <c r="E1045" s="5"/>
      <c r="F1045" s="5"/>
    </row>
    <row r="1046">
      <c r="D1046" s="1"/>
      <c r="E1046" s="5"/>
      <c r="F1046" s="5"/>
    </row>
    <row r="1047">
      <c r="D1047" s="1"/>
      <c r="E1047" s="5"/>
      <c r="F1047" s="5"/>
    </row>
    <row r="1048">
      <c r="D1048" s="1"/>
      <c r="E1048" s="5"/>
      <c r="F1048" s="5"/>
    </row>
    <row r="1049">
      <c r="D1049" s="1"/>
      <c r="E1049" s="5"/>
      <c r="F1049" s="5"/>
    </row>
    <row r="1050">
      <c r="D1050" s="1"/>
      <c r="E1050" s="5"/>
      <c r="F1050" s="5"/>
    </row>
    <row r="1051">
      <c r="D1051" s="1"/>
      <c r="E1051" s="5"/>
      <c r="F1051" s="5"/>
    </row>
    <row r="1052">
      <c r="D1052" s="1"/>
      <c r="E1052" s="5"/>
      <c r="F1052" s="5"/>
    </row>
    <row r="1053">
      <c r="D1053" s="1"/>
      <c r="E1053" s="5"/>
      <c r="F1053" s="5"/>
    </row>
    <row r="1054">
      <c r="D1054" s="1"/>
      <c r="E1054" s="5"/>
      <c r="F1054" s="5"/>
    </row>
    <row r="1055">
      <c r="D1055" s="1"/>
      <c r="E1055" s="5"/>
      <c r="F1055" s="5"/>
    </row>
  </sheetData>
  <drawing r:id="rId1"/>
</worksheet>
</file>